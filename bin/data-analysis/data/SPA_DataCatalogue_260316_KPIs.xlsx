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https://liveuclac-my.sharepoint.com/personal/ucfakan_ucl_ac_uk/Documents/@A-SPA/A_Activities/06_Catalogue/@Dashboard/"/>
    </mc:Choice>
  </mc:AlternateContent>
  <xr:revisionPtr revIDLastSave="362" documentId="8_{3C9C7103-2158-504D-B54D-8A322CC2F178}" xr6:coauthVersionLast="47" xr6:coauthVersionMax="47" xr10:uidLastSave="{42BD3827-B412-B940-B29D-EBCB71DD15CB}"/>
  <bookViews>
    <workbookView xWindow="-23920" yWindow="-23500" windowWidth="43600" windowHeight="23460" firstSheet="1" activeTab="1" xr2:uid="{00000000-000D-0000-FFFF-FFFF00000000}"/>
    <workbookView xWindow="28100" yWindow="-23500" windowWidth="24200" windowHeight="22820" activeTab="2" xr2:uid="{41ACF03E-6EAF-5244-B7EA-EAC26C2024B3}"/>
  </bookViews>
  <sheets>
    <sheet name="Catalogue_Columns" sheetId="1" r:id="rId1"/>
    <sheet name="Catalogue" sheetId="11" r:id="rId2"/>
    <sheet name="KPIs" sheetId="4" r:id="rId3"/>
    <sheet name="KPI_domains" sheetId="5" r:id="rId4"/>
    <sheet name="Licence_Types" sheetId="7" r:id="rId5"/>
  </sheets>
  <definedNames>
    <definedName name="_xlnm._FilterDatabase" localSheetId="1" hidden="1">Catalogue!$A$1:$AZ$243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3" roundtripDataChecksum="Kb2Qs4cKFPlHmOxcrr+/WkPBzwLP/kaPQowP4SgvQQ0="/>
    </ext>
  </extLst>
</workbook>
</file>

<file path=xl/calcChain.xml><?xml version="1.0" encoding="utf-8"?>
<calcChain xmlns="http://schemas.openxmlformats.org/spreadsheetml/2006/main">
  <c r="AW243" i="11" l="1"/>
  <c r="AV243" i="11"/>
  <c r="AU243" i="11"/>
  <c r="AT243" i="11"/>
  <c r="AR243" i="11"/>
  <c r="AQ243" i="11"/>
  <c r="AP243" i="11"/>
  <c r="AO243" i="11"/>
  <c r="AN243" i="11"/>
  <c r="AM243" i="11"/>
  <c r="AL243" i="11"/>
  <c r="AK243" i="11"/>
  <c r="AI243" i="11"/>
  <c r="AH243" i="11"/>
  <c r="AG243" i="11"/>
  <c r="AF243" i="11"/>
  <c r="AE243" i="11"/>
  <c r="AD243" i="11"/>
  <c r="AC243" i="11"/>
  <c r="AB243" i="11"/>
  <c r="AA243" i="11"/>
  <c r="Z243" i="11"/>
  <c r="Y243" i="11"/>
  <c r="Y200" i="11"/>
  <c r="Z200" i="11"/>
  <c r="AA200" i="11"/>
  <c r="AB200" i="11"/>
  <c r="AC200" i="11"/>
  <c r="AD200" i="11"/>
  <c r="AE200" i="11"/>
  <c r="AF200" i="11"/>
  <c r="AG200" i="11"/>
  <c r="AH200" i="11"/>
  <c r="AI200" i="11"/>
  <c r="AK200" i="11"/>
  <c r="AL200" i="11"/>
  <c r="AM200" i="11"/>
  <c r="AN200" i="11"/>
  <c r="AO200" i="11"/>
  <c r="AP200" i="11"/>
  <c r="AQ200" i="11"/>
  <c r="AR200" i="11"/>
  <c r="AT200" i="11"/>
  <c r="AU200" i="11"/>
  <c r="AV200" i="11"/>
  <c r="AW200" i="11"/>
  <c r="AW3" i="11"/>
  <c r="AW4" i="11"/>
  <c r="AW5" i="11"/>
  <c r="AW6" i="11"/>
  <c r="AW7" i="11"/>
  <c r="AW8" i="11"/>
  <c r="AW9" i="11"/>
  <c r="AW10" i="11"/>
  <c r="AW11" i="11"/>
  <c r="AW12" i="11"/>
  <c r="AW13" i="11"/>
  <c r="AW14" i="11"/>
  <c r="AW15" i="11"/>
  <c r="AW16" i="11"/>
  <c r="AW17" i="11"/>
  <c r="AW18" i="11"/>
  <c r="AW19" i="11"/>
  <c r="AW20" i="11"/>
  <c r="AW21" i="11"/>
  <c r="AW22" i="11"/>
  <c r="AW23" i="11"/>
  <c r="AW24" i="11"/>
  <c r="AW25" i="11"/>
  <c r="AW26" i="11"/>
  <c r="AW27" i="11"/>
  <c r="AW28" i="11"/>
  <c r="AW29" i="11"/>
  <c r="AW30" i="11"/>
  <c r="AW31" i="11"/>
  <c r="AW32" i="11"/>
  <c r="AW33" i="11"/>
  <c r="AW34" i="11"/>
  <c r="AW35" i="11"/>
  <c r="AW36" i="11"/>
  <c r="AW37" i="11"/>
  <c r="AW38" i="11"/>
  <c r="AW39" i="11"/>
  <c r="AW40" i="11"/>
  <c r="AW41" i="11"/>
  <c r="AW42" i="11"/>
  <c r="AW43" i="11"/>
  <c r="AW44" i="11"/>
  <c r="AW45" i="11"/>
  <c r="AW46" i="11"/>
  <c r="AW47" i="11"/>
  <c r="AW48" i="11"/>
  <c r="AW49" i="11"/>
  <c r="AW50" i="11"/>
  <c r="AW51" i="11"/>
  <c r="AW52" i="11"/>
  <c r="AW53" i="11"/>
  <c r="AW54" i="11"/>
  <c r="AW55" i="11"/>
  <c r="AW56" i="11"/>
  <c r="AW57" i="11"/>
  <c r="AW58" i="11"/>
  <c r="AW59" i="11"/>
  <c r="AW60" i="11"/>
  <c r="AW61" i="11"/>
  <c r="AW62" i="11"/>
  <c r="AW63" i="11"/>
  <c r="AW64" i="11"/>
  <c r="AW65" i="11"/>
  <c r="AW66" i="11"/>
  <c r="AW67" i="11"/>
  <c r="AW68" i="11"/>
  <c r="AW69" i="11"/>
  <c r="AW70" i="11"/>
  <c r="AW71" i="11"/>
  <c r="AW72" i="11"/>
  <c r="AW73" i="11"/>
  <c r="AW74" i="11"/>
  <c r="AW75" i="11"/>
  <c r="AW76" i="11"/>
  <c r="AW77" i="11"/>
  <c r="AW78" i="11"/>
  <c r="AW79" i="11"/>
  <c r="AW80" i="11"/>
  <c r="AW81" i="11"/>
  <c r="AW82" i="11"/>
  <c r="AW83" i="11"/>
  <c r="AW84" i="11"/>
  <c r="AW85" i="11"/>
  <c r="AW86" i="11"/>
  <c r="AW87" i="11"/>
  <c r="AW88" i="11"/>
  <c r="AW89" i="11"/>
  <c r="AW90" i="11"/>
  <c r="AW91" i="11"/>
  <c r="AW92" i="11"/>
  <c r="AW93" i="11"/>
  <c r="AW94" i="11"/>
  <c r="AW95" i="11"/>
  <c r="AW96" i="11"/>
  <c r="AW97" i="11"/>
  <c r="AW98" i="11"/>
  <c r="AW99" i="11"/>
  <c r="AW100" i="11"/>
  <c r="AW101" i="11"/>
  <c r="AW102" i="11"/>
  <c r="AW103" i="11"/>
  <c r="AW104" i="11"/>
  <c r="AW105" i="11"/>
  <c r="AW106" i="11"/>
  <c r="AW107" i="11"/>
  <c r="AW108" i="11"/>
  <c r="AW109" i="11"/>
  <c r="AW110" i="11"/>
  <c r="AW111" i="11"/>
  <c r="AW112" i="11"/>
  <c r="AW113" i="11"/>
  <c r="AW114" i="11"/>
  <c r="AW115" i="11"/>
  <c r="AW116" i="11"/>
  <c r="AW117" i="11"/>
  <c r="AW118" i="11"/>
  <c r="AW119" i="11"/>
  <c r="AW120" i="11"/>
  <c r="AW121" i="11"/>
  <c r="AW122" i="11"/>
  <c r="AW123" i="11"/>
  <c r="AW124" i="11"/>
  <c r="AW125" i="11"/>
  <c r="AW126" i="11"/>
  <c r="AW127" i="11"/>
  <c r="AW128" i="11"/>
  <c r="AW129" i="11"/>
  <c r="AW130" i="11"/>
  <c r="AW131" i="11"/>
  <c r="AW132" i="11"/>
  <c r="AW133" i="11"/>
  <c r="AW134" i="11"/>
  <c r="AW135" i="11"/>
  <c r="AW136" i="11"/>
  <c r="AW137" i="11"/>
  <c r="AW138" i="11"/>
  <c r="AW139" i="11"/>
  <c r="AW140" i="11"/>
  <c r="AW141" i="11"/>
  <c r="AW142" i="11"/>
  <c r="AW143" i="11"/>
  <c r="AW144" i="11"/>
  <c r="AW145" i="11"/>
  <c r="AW146" i="11"/>
  <c r="AW147" i="11"/>
  <c r="AW148" i="11"/>
  <c r="AW149" i="11"/>
  <c r="AW150" i="11"/>
  <c r="AW151" i="11"/>
  <c r="AW152" i="11"/>
  <c r="AW153" i="11"/>
  <c r="AW154" i="11"/>
  <c r="AW155" i="11"/>
  <c r="AW156" i="11"/>
  <c r="AW157" i="11"/>
  <c r="AW158" i="11"/>
  <c r="AW159" i="11"/>
  <c r="AW160" i="11"/>
  <c r="AW161" i="11"/>
  <c r="AW162" i="11"/>
  <c r="AW163" i="11"/>
  <c r="AW164" i="11"/>
  <c r="AW165" i="11"/>
  <c r="AW166" i="11"/>
  <c r="AW167" i="11"/>
  <c r="AW168" i="11"/>
  <c r="AW169" i="11"/>
  <c r="AW170" i="11"/>
  <c r="AW171" i="11"/>
  <c r="AW172" i="11"/>
  <c r="AW173" i="11"/>
  <c r="AW174" i="11"/>
  <c r="AW175" i="11"/>
  <c r="AW176" i="11"/>
  <c r="AW177" i="11"/>
  <c r="AW178" i="11"/>
  <c r="AW179" i="11"/>
  <c r="AW180" i="11"/>
  <c r="AW181" i="11"/>
  <c r="AW182" i="11"/>
  <c r="AW183" i="11"/>
  <c r="AW184" i="11"/>
  <c r="AW185" i="11"/>
  <c r="AW186" i="11"/>
  <c r="AW187" i="11"/>
  <c r="AW188" i="11"/>
  <c r="AW189" i="11"/>
  <c r="AW190" i="11"/>
  <c r="AW191" i="11"/>
  <c r="AW192" i="11"/>
  <c r="AW193" i="11"/>
  <c r="AW194" i="11"/>
  <c r="AW195" i="11"/>
  <c r="AW196" i="11"/>
  <c r="AW197" i="11"/>
  <c r="AW198" i="11"/>
  <c r="AW199" i="11"/>
  <c r="AW201" i="11"/>
  <c r="AW202" i="11"/>
  <c r="AW203" i="11"/>
  <c r="AW204" i="11"/>
  <c r="AW205" i="11"/>
  <c r="AW206" i="11"/>
  <c r="AW207" i="11"/>
  <c r="AW208" i="11"/>
  <c r="AW209" i="11"/>
  <c r="AW210" i="11"/>
  <c r="AW211" i="11"/>
  <c r="AW212" i="11"/>
  <c r="AW213" i="11"/>
  <c r="AW214" i="11"/>
  <c r="AW215" i="11"/>
  <c r="AW216" i="11"/>
  <c r="AW217" i="11"/>
  <c r="AW218" i="11"/>
  <c r="AW219" i="11"/>
  <c r="AW220" i="11"/>
  <c r="AW221" i="11"/>
  <c r="AW222" i="11"/>
  <c r="AW223" i="11"/>
  <c r="AW224" i="11"/>
  <c r="AW225" i="11"/>
  <c r="AW226" i="11"/>
  <c r="AW227" i="11"/>
  <c r="AW228" i="11"/>
  <c r="AW229" i="11"/>
  <c r="AW230" i="11"/>
  <c r="AW231" i="11"/>
  <c r="AW232" i="11"/>
  <c r="AW233" i="11"/>
  <c r="AW234" i="11"/>
  <c r="AW235" i="11"/>
  <c r="AW236" i="11"/>
  <c r="AW237" i="11"/>
  <c r="AW238" i="11"/>
  <c r="AW239" i="11"/>
  <c r="AW240" i="11"/>
  <c r="AW241" i="11"/>
  <c r="AW242" i="11"/>
  <c r="AW2" i="11"/>
  <c r="AV3" i="11"/>
  <c r="AV4" i="11"/>
  <c r="AV5" i="11"/>
  <c r="AV6" i="11"/>
  <c r="AV7" i="11"/>
  <c r="AV8" i="11"/>
  <c r="AV9" i="11"/>
  <c r="AV10" i="11"/>
  <c r="AV11" i="11"/>
  <c r="AV12" i="11"/>
  <c r="AV13" i="11"/>
  <c r="AV14" i="11"/>
  <c r="AV15" i="11"/>
  <c r="AV16" i="11"/>
  <c r="AV17" i="11"/>
  <c r="AV18" i="11"/>
  <c r="AV19" i="11"/>
  <c r="AV20" i="11"/>
  <c r="AV21" i="11"/>
  <c r="AV22" i="11"/>
  <c r="AV23" i="11"/>
  <c r="AV24" i="11"/>
  <c r="AV25" i="11"/>
  <c r="AV26" i="11"/>
  <c r="AV27" i="11"/>
  <c r="AV28" i="11"/>
  <c r="AV29" i="11"/>
  <c r="AV30" i="11"/>
  <c r="AV31" i="11"/>
  <c r="AV32" i="11"/>
  <c r="AV33" i="11"/>
  <c r="AV34" i="11"/>
  <c r="AV35" i="11"/>
  <c r="AV36" i="11"/>
  <c r="AV37" i="11"/>
  <c r="AV38" i="11"/>
  <c r="AV39" i="11"/>
  <c r="AV40" i="11"/>
  <c r="AV41" i="11"/>
  <c r="AV42" i="11"/>
  <c r="AV43" i="11"/>
  <c r="AV44" i="11"/>
  <c r="AV45" i="11"/>
  <c r="AV46" i="11"/>
  <c r="AV47" i="11"/>
  <c r="AV48" i="11"/>
  <c r="AV49" i="11"/>
  <c r="AV50" i="11"/>
  <c r="AV51" i="11"/>
  <c r="AV52" i="11"/>
  <c r="AV53" i="11"/>
  <c r="AV54" i="11"/>
  <c r="AV55" i="11"/>
  <c r="AV56" i="11"/>
  <c r="AV57" i="11"/>
  <c r="AV58" i="11"/>
  <c r="AV59" i="11"/>
  <c r="AV60" i="11"/>
  <c r="AV61" i="11"/>
  <c r="AV62" i="11"/>
  <c r="AV63" i="11"/>
  <c r="AV64" i="11"/>
  <c r="AV65" i="11"/>
  <c r="AV66" i="11"/>
  <c r="AV67" i="11"/>
  <c r="AV68" i="11"/>
  <c r="AV69" i="11"/>
  <c r="AV70" i="11"/>
  <c r="AV71" i="11"/>
  <c r="AV72" i="11"/>
  <c r="AV73" i="11"/>
  <c r="AV74" i="11"/>
  <c r="AV75" i="11"/>
  <c r="AV76" i="11"/>
  <c r="AV77" i="11"/>
  <c r="AV78" i="11"/>
  <c r="AV79" i="11"/>
  <c r="AV80" i="11"/>
  <c r="AV81" i="11"/>
  <c r="AV82" i="11"/>
  <c r="AV83" i="11"/>
  <c r="AV84" i="11"/>
  <c r="AV85" i="11"/>
  <c r="AV86" i="11"/>
  <c r="AV87" i="11"/>
  <c r="AV88" i="11"/>
  <c r="AV89" i="11"/>
  <c r="AV90" i="11"/>
  <c r="AV91" i="11"/>
  <c r="AV92" i="11"/>
  <c r="AV93" i="11"/>
  <c r="AV94" i="11"/>
  <c r="AV95" i="11"/>
  <c r="AV96" i="11"/>
  <c r="AV97" i="11"/>
  <c r="AV98" i="11"/>
  <c r="AV99" i="11"/>
  <c r="AV100" i="11"/>
  <c r="AV101" i="11"/>
  <c r="AV102" i="11"/>
  <c r="AV103" i="11"/>
  <c r="AV104" i="11"/>
  <c r="AV105" i="11"/>
  <c r="AV106" i="11"/>
  <c r="AV107" i="11"/>
  <c r="AV108" i="11"/>
  <c r="AV109" i="11"/>
  <c r="AV110" i="11"/>
  <c r="AV111" i="11"/>
  <c r="AV112" i="11"/>
  <c r="AV113" i="11"/>
  <c r="AV114" i="11"/>
  <c r="AV115" i="11"/>
  <c r="AV116" i="11"/>
  <c r="AV117" i="11"/>
  <c r="AV118" i="11"/>
  <c r="AV119" i="11"/>
  <c r="AV120" i="11"/>
  <c r="AV121" i="11"/>
  <c r="AV122" i="11"/>
  <c r="AV123" i="11"/>
  <c r="AV124" i="11"/>
  <c r="AV125" i="11"/>
  <c r="AV126" i="11"/>
  <c r="AV127" i="11"/>
  <c r="AV128" i="11"/>
  <c r="AV129" i="11"/>
  <c r="AV130" i="11"/>
  <c r="AV131" i="11"/>
  <c r="AV132" i="11"/>
  <c r="AV133" i="11"/>
  <c r="AV134" i="11"/>
  <c r="AV135" i="11"/>
  <c r="AV136" i="11"/>
  <c r="AV137" i="11"/>
  <c r="AV138" i="11"/>
  <c r="AV139" i="11"/>
  <c r="AV140" i="11"/>
  <c r="AV141" i="11"/>
  <c r="AV142" i="11"/>
  <c r="AV143" i="11"/>
  <c r="AV144" i="11"/>
  <c r="AV145" i="11"/>
  <c r="AV146" i="11"/>
  <c r="AV147" i="11"/>
  <c r="AV148" i="11"/>
  <c r="AV149" i="11"/>
  <c r="AV150" i="11"/>
  <c r="AV151" i="11"/>
  <c r="AV152" i="11"/>
  <c r="AV153" i="11"/>
  <c r="AV154" i="11"/>
  <c r="AV155" i="11"/>
  <c r="AV156" i="11"/>
  <c r="AV157" i="11"/>
  <c r="AV158" i="11"/>
  <c r="AV159" i="11"/>
  <c r="AV160" i="11"/>
  <c r="AV161" i="11"/>
  <c r="AV162" i="11"/>
  <c r="AV163" i="11"/>
  <c r="AV164" i="11"/>
  <c r="AV165" i="11"/>
  <c r="AV166" i="11"/>
  <c r="AV167" i="11"/>
  <c r="AV168" i="11"/>
  <c r="AV169" i="11"/>
  <c r="AV170" i="11"/>
  <c r="AV171" i="11"/>
  <c r="AV172" i="11"/>
  <c r="AV173" i="11"/>
  <c r="AV174" i="11"/>
  <c r="AV175" i="11"/>
  <c r="AV176" i="11"/>
  <c r="AV177" i="11"/>
  <c r="AV178" i="11"/>
  <c r="AV179" i="11"/>
  <c r="AV180" i="11"/>
  <c r="AV181" i="11"/>
  <c r="AV182" i="11"/>
  <c r="AV183" i="11"/>
  <c r="AV184" i="11"/>
  <c r="AV185" i="11"/>
  <c r="AV186" i="11"/>
  <c r="AV187" i="11"/>
  <c r="AV188" i="11"/>
  <c r="AV189" i="11"/>
  <c r="AV190" i="11"/>
  <c r="AV191" i="11"/>
  <c r="AV192" i="11"/>
  <c r="AV193" i="11"/>
  <c r="AV194" i="11"/>
  <c r="AV195" i="11"/>
  <c r="AV196" i="11"/>
  <c r="AV197" i="11"/>
  <c r="AV198" i="11"/>
  <c r="AV199" i="11"/>
  <c r="AV201" i="11"/>
  <c r="AV202" i="11"/>
  <c r="AV203" i="11"/>
  <c r="AV204" i="11"/>
  <c r="AV205" i="11"/>
  <c r="AV206" i="11"/>
  <c r="AV207" i="11"/>
  <c r="AV208" i="11"/>
  <c r="AV209" i="11"/>
  <c r="AV210" i="11"/>
  <c r="AV211" i="11"/>
  <c r="AV212" i="11"/>
  <c r="AV213" i="11"/>
  <c r="AV214" i="11"/>
  <c r="AV215" i="11"/>
  <c r="AV216" i="11"/>
  <c r="AV217" i="11"/>
  <c r="AV218" i="11"/>
  <c r="AV219" i="11"/>
  <c r="AV220" i="11"/>
  <c r="AV221" i="11"/>
  <c r="AV222" i="11"/>
  <c r="AV223" i="11"/>
  <c r="AV224" i="11"/>
  <c r="AV225" i="11"/>
  <c r="AV226" i="11"/>
  <c r="AV227" i="11"/>
  <c r="AV228" i="11"/>
  <c r="AV229" i="11"/>
  <c r="AV230" i="11"/>
  <c r="AV231" i="11"/>
  <c r="AV232" i="11"/>
  <c r="AV233" i="11"/>
  <c r="AV234" i="11"/>
  <c r="AV235" i="11"/>
  <c r="AV236" i="11"/>
  <c r="AV237" i="11"/>
  <c r="AV238" i="11"/>
  <c r="AV239" i="11"/>
  <c r="AV240" i="11"/>
  <c r="AV241" i="11"/>
  <c r="AV242" i="11"/>
  <c r="AV2" i="11"/>
  <c r="AU3" i="11"/>
  <c r="AU4" i="11"/>
  <c r="AU5" i="11"/>
  <c r="AU6" i="11"/>
  <c r="AU7" i="11"/>
  <c r="AU8" i="11"/>
  <c r="AU9" i="11"/>
  <c r="AU10" i="11"/>
  <c r="AU11" i="11"/>
  <c r="AU12" i="11"/>
  <c r="AU13" i="11"/>
  <c r="AU14" i="11"/>
  <c r="AU15" i="11"/>
  <c r="AU16" i="11"/>
  <c r="AU17" i="11"/>
  <c r="AU18" i="11"/>
  <c r="AU19" i="11"/>
  <c r="AU20" i="11"/>
  <c r="AU21" i="11"/>
  <c r="AU22" i="11"/>
  <c r="AU23" i="11"/>
  <c r="AU24" i="11"/>
  <c r="AU25" i="11"/>
  <c r="AU26" i="11"/>
  <c r="AU27" i="11"/>
  <c r="AU28" i="11"/>
  <c r="AU29" i="11"/>
  <c r="AU30" i="11"/>
  <c r="AU31" i="11"/>
  <c r="AU32" i="11"/>
  <c r="AU33" i="11"/>
  <c r="AU34" i="11"/>
  <c r="AU35" i="11"/>
  <c r="AU36" i="11"/>
  <c r="AU37" i="11"/>
  <c r="AU38" i="11"/>
  <c r="AU39" i="11"/>
  <c r="AU40" i="11"/>
  <c r="AU41" i="11"/>
  <c r="AU42" i="11"/>
  <c r="AU43" i="11"/>
  <c r="AU44" i="11"/>
  <c r="AU45" i="11"/>
  <c r="AU46" i="11"/>
  <c r="AU47" i="11"/>
  <c r="AU48" i="11"/>
  <c r="AU49" i="11"/>
  <c r="AU50" i="11"/>
  <c r="AU51" i="11"/>
  <c r="AU52" i="11"/>
  <c r="AU53" i="11"/>
  <c r="AU54" i="11"/>
  <c r="AU55" i="11"/>
  <c r="AU56" i="11"/>
  <c r="AU57" i="11"/>
  <c r="AU58" i="11"/>
  <c r="AU59" i="11"/>
  <c r="AU60" i="11"/>
  <c r="AU61" i="11"/>
  <c r="AU62" i="11"/>
  <c r="AU63" i="11"/>
  <c r="AU64" i="11"/>
  <c r="AU65" i="11"/>
  <c r="AU66" i="11"/>
  <c r="AU67" i="11"/>
  <c r="AU68" i="11"/>
  <c r="AU69" i="11"/>
  <c r="AU70" i="11"/>
  <c r="AU71" i="11"/>
  <c r="AU72" i="11"/>
  <c r="AU73" i="11"/>
  <c r="AU74" i="11"/>
  <c r="AU75" i="11"/>
  <c r="AU76" i="11"/>
  <c r="AU77" i="11"/>
  <c r="AU78" i="11"/>
  <c r="AU79" i="11"/>
  <c r="AU80" i="11"/>
  <c r="AU81" i="11"/>
  <c r="AU82" i="11"/>
  <c r="AU83" i="11"/>
  <c r="AU84" i="11"/>
  <c r="AU85" i="11"/>
  <c r="AU86" i="11"/>
  <c r="AU87" i="11"/>
  <c r="AU88" i="11"/>
  <c r="AU89" i="11"/>
  <c r="AU90" i="11"/>
  <c r="AU91" i="11"/>
  <c r="AU92" i="11"/>
  <c r="AU93" i="11"/>
  <c r="AU94" i="11"/>
  <c r="AU95" i="11"/>
  <c r="AU96" i="11"/>
  <c r="AU97" i="11"/>
  <c r="AU98" i="11"/>
  <c r="AU99" i="11"/>
  <c r="AU100" i="11"/>
  <c r="AU101" i="11"/>
  <c r="AU102" i="11"/>
  <c r="AU103" i="11"/>
  <c r="AU104" i="11"/>
  <c r="AU105" i="11"/>
  <c r="AU106" i="11"/>
  <c r="AU107" i="11"/>
  <c r="AU108" i="11"/>
  <c r="AU109" i="11"/>
  <c r="AU110" i="11"/>
  <c r="AU111" i="11"/>
  <c r="AU112" i="11"/>
  <c r="AU113" i="11"/>
  <c r="AU114" i="11"/>
  <c r="AU115" i="11"/>
  <c r="AU116" i="11"/>
  <c r="AU117" i="11"/>
  <c r="AU118" i="11"/>
  <c r="AU119" i="11"/>
  <c r="AU120" i="11"/>
  <c r="AU121" i="11"/>
  <c r="AU122" i="11"/>
  <c r="AU123" i="11"/>
  <c r="AU124" i="11"/>
  <c r="AU125" i="11"/>
  <c r="AU126" i="11"/>
  <c r="AU127" i="11"/>
  <c r="AU128" i="11"/>
  <c r="AU129" i="11"/>
  <c r="AU130" i="11"/>
  <c r="AU131" i="11"/>
  <c r="AU132" i="11"/>
  <c r="AU133" i="11"/>
  <c r="AU134" i="11"/>
  <c r="AU135" i="11"/>
  <c r="AU136" i="11"/>
  <c r="AU137" i="11"/>
  <c r="AU138" i="11"/>
  <c r="AU139" i="11"/>
  <c r="AU140" i="11"/>
  <c r="AU141" i="11"/>
  <c r="AU142" i="11"/>
  <c r="AU143" i="11"/>
  <c r="AU144" i="11"/>
  <c r="AU145" i="11"/>
  <c r="AU146" i="11"/>
  <c r="AU147" i="11"/>
  <c r="AU148" i="11"/>
  <c r="AU149" i="11"/>
  <c r="AU150" i="11"/>
  <c r="AU151" i="11"/>
  <c r="AU152" i="11"/>
  <c r="AU153" i="11"/>
  <c r="AU154" i="11"/>
  <c r="AU155" i="11"/>
  <c r="AU156" i="11"/>
  <c r="AU157" i="11"/>
  <c r="AU158" i="11"/>
  <c r="AU159" i="11"/>
  <c r="AU160" i="11"/>
  <c r="AU161" i="11"/>
  <c r="AU162" i="11"/>
  <c r="AU163" i="11"/>
  <c r="AU164" i="11"/>
  <c r="AU165" i="11"/>
  <c r="AU166" i="11"/>
  <c r="AU167" i="11"/>
  <c r="AU168" i="11"/>
  <c r="AU169" i="11"/>
  <c r="AU170" i="11"/>
  <c r="AU171" i="11"/>
  <c r="AU172" i="11"/>
  <c r="AU173" i="11"/>
  <c r="AU174" i="11"/>
  <c r="AU175" i="11"/>
  <c r="AU176" i="11"/>
  <c r="AU177" i="11"/>
  <c r="AU178" i="11"/>
  <c r="AU179" i="11"/>
  <c r="AU180" i="11"/>
  <c r="AU181" i="11"/>
  <c r="AU182" i="11"/>
  <c r="AU183" i="11"/>
  <c r="AU184" i="11"/>
  <c r="AU185" i="11"/>
  <c r="AU186" i="11"/>
  <c r="AU187" i="11"/>
  <c r="AU188" i="11"/>
  <c r="AU189" i="11"/>
  <c r="AU190" i="11"/>
  <c r="AU191" i="11"/>
  <c r="AU192" i="11"/>
  <c r="AU193" i="11"/>
  <c r="AU194" i="11"/>
  <c r="AU195" i="11"/>
  <c r="AU196" i="11"/>
  <c r="AU197" i="11"/>
  <c r="AU198" i="11"/>
  <c r="AU199" i="11"/>
  <c r="AU201" i="11"/>
  <c r="AU202" i="11"/>
  <c r="AU203" i="11"/>
  <c r="AU204" i="11"/>
  <c r="AU205" i="11"/>
  <c r="AU206" i="11"/>
  <c r="AU207" i="11"/>
  <c r="AU208" i="11"/>
  <c r="AU209" i="11"/>
  <c r="AU210" i="11"/>
  <c r="AU211" i="11"/>
  <c r="AU212" i="11"/>
  <c r="AU213" i="11"/>
  <c r="AU214" i="11"/>
  <c r="AU215" i="11"/>
  <c r="AU216" i="11"/>
  <c r="AU217" i="11"/>
  <c r="AU218" i="11"/>
  <c r="AU219" i="11"/>
  <c r="AU220" i="11"/>
  <c r="AU221" i="11"/>
  <c r="AU222" i="11"/>
  <c r="AU223" i="11"/>
  <c r="AU224" i="11"/>
  <c r="AU225" i="11"/>
  <c r="AU226" i="11"/>
  <c r="AU227" i="11"/>
  <c r="AU228" i="11"/>
  <c r="AU229" i="11"/>
  <c r="AU230" i="11"/>
  <c r="AU231" i="11"/>
  <c r="AU232" i="11"/>
  <c r="AU233" i="11"/>
  <c r="AU234" i="11"/>
  <c r="AU235" i="11"/>
  <c r="AU236" i="11"/>
  <c r="AU237" i="11"/>
  <c r="AU238" i="11"/>
  <c r="AU239" i="11"/>
  <c r="AU240" i="11"/>
  <c r="AU241" i="11"/>
  <c r="AU242" i="11"/>
  <c r="AU2" i="11"/>
  <c r="AT3" i="11"/>
  <c r="AT4" i="11"/>
  <c r="AT5" i="11"/>
  <c r="AT6" i="11"/>
  <c r="AT7" i="11"/>
  <c r="AT8" i="11"/>
  <c r="AT9" i="11"/>
  <c r="AT10" i="11"/>
  <c r="AT11" i="11"/>
  <c r="AT12" i="11"/>
  <c r="AT13" i="11"/>
  <c r="AT14" i="11"/>
  <c r="AT15" i="11"/>
  <c r="AT16" i="11"/>
  <c r="AT17" i="11"/>
  <c r="AT18" i="11"/>
  <c r="AT19" i="11"/>
  <c r="AT20" i="11"/>
  <c r="AT21" i="11"/>
  <c r="AT22" i="11"/>
  <c r="AT23" i="11"/>
  <c r="AT24" i="11"/>
  <c r="AT25" i="11"/>
  <c r="AT26" i="11"/>
  <c r="AT27" i="11"/>
  <c r="AT28" i="11"/>
  <c r="AT29" i="11"/>
  <c r="AT30" i="11"/>
  <c r="AT31" i="11"/>
  <c r="AT32" i="11"/>
  <c r="AT33" i="11"/>
  <c r="AT34" i="11"/>
  <c r="AT35" i="11"/>
  <c r="AT36" i="11"/>
  <c r="AT37" i="11"/>
  <c r="AT38" i="11"/>
  <c r="AT39" i="11"/>
  <c r="AT40" i="11"/>
  <c r="AT41" i="11"/>
  <c r="AT42" i="11"/>
  <c r="AT43" i="11"/>
  <c r="AT44" i="11"/>
  <c r="AT45" i="11"/>
  <c r="AT46" i="11"/>
  <c r="AT47" i="11"/>
  <c r="AT48" i="11"/>
  <c r="AT49" i="11"/>
  <c r="AT50" i="11"/>
  <c r="AT51" i="11"/>
  <c r="AT52" i="11"/>
  <c r="AT53" i="11"/>
  <c r="AT54" i="11"/>
  <c r="AT55" i="11"/>
  <c r="AT56" i="11"/>
  <c r="AT57" i="11"/>
  <c r="AT58" i="11"/>
  <c r="AT59" i="11"/>
  <c r="AT60" i="11"/>
  <c r="AT61" i="11"/>
  <c r="AT62" i="11"/>
  <c r="AT63" i="11"/>
  <c r="AT64" i="11"/>
  <c r="AT65" i="11"/>
  <c r="AT66" i="11"/>
  <c r="AT67" i="11"/>
  <c r="AT68" i="11"/>
  <c r="AT69" i="11"/>
  <c r="AT70" i="11"/>
  <c r="AT71" i="11"/>
  <c r="AT72" i="11"/>
  <c r="AT73" i="11"/>
  <c r="AT74" i="11"/>
  <c r="AT75" i="11"/>
  <c r="AT76" i="11"/>
  <c r="AT77" i="11"/>
  <c r="AT78" i="11"/>
  <c r="AT79" i="11"/>
  <c r="AT80" i="11"/>
  <c r="AT81" i="11"/>
  <c r="AT82" i="11"/>
  <c r="AT83" i="11"/>
  <c r="AT84" i="11"/>
  <c r="AT85" i="11"/>
  <c r="AT86" i="11"/>
  <c r="AT87" i="11"/>
  <c r="AT88" i="11"/>
  <c r="AT89" i="11"/>
  <c r="AT90" i="11"/>
  <c r="AT91" i="11"/>
  <c r="AT92" i="11"/>
  <c r="AT93" i="11"/>
  <c r="AT94" i="11"/>
  <c r="AT95" i="11"/>
  <c r="AT96" i="11"/>
  <c r="AT97" i="11"/>
  <c r="AT98" i="11"/>
  <c r="AT99" i="11"/>
  <c r="AT100" i="11"/>
  <c r="AT101" i="11"/>
  <c r="AT102" i="11"/>
  <c r="AT103" i="11"/>
  <c r="AT104" i="11"/>
  <c r="AT105" i="11"/>
  <c r="AT106" i="11"/>
  <c r="AT107" i="11"/>
  <c r="AT108" i="11"/>
  <c r="AT109" i="11"/>
  <c r="AT110" i="11"/>
  <c r="AT111" i="11"/>
  <c r="AT112" i="11"/>
  <c r="AT113" i="11"/>
  <c r="AT114" i="11"/>
  <c r="AT115" i="11"/>
  <c r="AT116" i="11"/>
  <c r="AT117" i="11"/>
  <c r="AT118" i="11"/>
  <c r="AT119" i="11"/>
  <c r="AT120" i="11"/>
  <c r="AT121" i="11"/>
  <c r="AT122" i="11"/>
  <c r="AT123" i="11"/>
  <c r="AT124" i="11"/>
  <c r="AT125" i="11"/>
  <c r="AT126" i="11"/>
  <c r="AT127" i="11"/>
  <c r="AT128" i="11"/>
  <c r="AT129" i="11"/>
  <c r="AT130" i="11"/>
  <c r="AT131" i="11"/>
  <c r="AT132" i="11"/>
  <c r="AT133" i="11"/>
  <c r="AT134" i="11"/>
  <c r="AT135" i="11"/>
  <c r="AT136" i="11"/>
  <c r="AT137" i="11"/>
  <c r="AT138" i="11"/>
  <c r="AT139" i="11"/>
  <c r="AT140" i="11"/>
  <c r="AT141" i="11"/>
  <c r="AT142" i="11"/>
  <c r="AT143" i="11"/>
  <c r="AT144" i="11"/>
  <c r="AT145" i="11"/>
  <c r="AT146" i="11"/>
  <c r="AT147" i="11"/>
  <c r="AT148" i="11"/>
  <c r="AT149" i="11"/>
  <c r="AT150" i="11"/>
  <c r="AT151" i="11"/>
  <c r="AT152" i="11"/>
  <c r="AT153" i="11"/>
  <c r="AT154" i="11"/>
  <c r="AT155" i="11"/>
  <c r="AT156" i="11"/>
  <c r="AT157" i="11"/>
  <c r="AT158" i="11"/>
  <c r="AT159" i="11"/>
  <c r="AT160" i="11"/>
  <c r="AT161" i="11"/>
  <c r="AT162" i="11"/>
  <c r="AT163" i="11"/>
  <c r="AT164" i="11"/>
  <c r="AT165" i="11"/>
  <c r="AT166" i="11"/>
  <c r="AT167" i="11"/>
  <c r="AT168" i="11"/>
  <c r="AT169" i="11"/>
  <c r="AT170" i="11"/>
  <c r="AT171" i="11"/>
  <c r="AT172" i="11"/>
  <c r="AT173" i="11"/>
  <c r="AT174" i="11"/>
  <c r="AT175" i="11"/>
  <c r="AT176" i="11"/>
  <c r="AT177" i="11"/>
  <c r="AT178" i="11"/>
  <c r="AT179" i="11"/>
  <c r="AT180" i="11"/>
  <c r="AT181" i="11"/>
  <c r="AT182" i="11"/>
  <c r="AT183" i="11"/>
  <c r="AT184" i="11"/>
  <c r="AT185" i="11"/>
  <c r="AT186" i="11"/>
  <c r="AT187" i="11"/>
  <c r="AT188" i="11"/>
  <c r="AT189" i="11"/>
  <c r="AT190" i="11"/>
  <c r="AT191" i="11"/>
  <c r="AT192" i="11"/>
  <c r="AT193" i="11"/>
  <c r="AT194" i="11"/>
  <c r="AT195" i="11"/>
  <c r="AT196" i="11"/>
  <c r="AT197" i="11"/>
  <c r="AT198" i="11"/>
  <c r="AT199" i="11"/>
  <c r="AT201" i="11"/>
  <c r="AT202" i="11"/>
  <c r="AT203" i="11"/>
  <c r="AT204" i="11"/>
  <c r="AT205" i="11"/>
  <c r="AT206" i="11"/>
  <c r="AT207" i="11"/>
  <c r="AT208" i="11"/>
  <c r="AT209" i="11"/>
  <c r="AT210" i="11"/>
  <c r="AT211" i="11"/>
  <c r="AT212" i="11"/>
  <c r="AT213" i="11"/>
  <c r="AT214" i="11"/>
  <c r="AT215" i="11"/>
  <c r="AT216" i="11"/>
  <c r="AT217" i="11"/>
  <c r="AT218" i="11"/>
  <c r="AT219" i="11"/>
  <c r="AT220" i="11"/>
  <c r="AT221" i="11"/>
  <c r="AT222" i="11"/>
  <c r="AT223" i="11"/>
  <c r="AT224" i="11"/>
  <c r="AT225" i="11"/>
  <c r="AT226" i="11"/>
  <c r="AT227" i="11"/>
  <c r="AT228" i="11"/>
  <c r="AT229" i="11"/>
  <c r="AT230" i="11"/>
  <c r="AT231" i="11"/>
  <c r="AT232" i="11"/>
  <c r="AT233" i="11"/>
  <c r="AT234" i="11"/>
  <c r="AT235" i="11"/>
  <c r="AT236" i="11"/>
  <c r="AT237" i="11"/>
  <c r="AT238" i="11"/>
  <c r="AT239" i="11"/>
  <c r="AT240" i="11"/>
  <c r="AT241" i="11"/>
  <c r="AT242" i="11"/>
  <c r="AT2" i="11"/>
  <c r="AR3" i="11"/>
  <c r="AR4" i="11"/>
  <c r="AR5" i="11"/>
  <c r="AR6" i="11"/>
  <c r="AR7" i="11"/>
  <c r="AR8" i="11"/>
  <c r="AR9" i="11"/>
  <c r="AR10" i="11"/>
  <c r="AR11" i="11"/>
  <c r="AR12" i="11"/>
  <c r="AR13" i="11"/>
  <c r="AR14" i="11"/>
  <c r="AR15" i="11"/>
  <c r="AR16" i="11"/>
  <c r="AR17" i="11"/>
  <c r="AR18" i="11"/>
  <c r="AR19" i="11"/>
  <c r="AR20" i="11"/>
  <c r="AR21" i="11"/>
  <c r="AR22" i="11"/>
  <c r="AR23" i="11"/>
  <c r="AR24" i="11"/>
  <c r="AR25" i="11"/>
  <c r="AR26" i="11"/>
  <c r="AR27" i="11"/>
  <c r="AR28" i="11"/>
  <c r="AR29" i="11"/>
  <c r="AR30" i="11"/>
  <c r="AR31" i="11"/>
  <c r="AR32" i="11"/>
  <c r="AR33" i="11"/>
  <c r="AR34" i="11"/>
  <c r="AR35" i="11"/>
  <c r="AR36" i="11"/>
  <c r="AR37" i="11"/>
  <c r="AR38" i="11"/>
  <c r="AR39" i="11"/>
  <c r="AR40" i="11"/>
  <c r="AR41" i="11"/>
  <c r="AR42" i="11"/>
  <c r="AR43" i="11"/>
  <c r="AR44" i="11"/>
  <c r="AR45" i="11"/>
  <c r="AR46" i="11"/>
  <c r="AR47" i="11"/>
  <c r="AR48" i="11"/>
  <c r="AR49" i="11"/>
  <c r="AR50" i="11"/>
  <c r="AR51" i="11"/>
  <c r="AR52" i="11"/>
  <c r="AR53" i="11"/>
  <c r="AR54" i="11"/>
  <c r="AR55" i="11"/>
  <c r="AR56" i="11"/>
  <c r="AR57" i="11"/>
  <c r="AR58" i="11"/>
  <c r="AR59" i="11"/>
  <c r="AR60" i="11"/>
  <c r="AR61" i="11"/>
  <c r="AR62" i="11"/>
  <c r="AR63" i="11"/>
  <c r="AR64" i="11"/>
  <c r="AR65" i="11"/>
  <c r="AR66" i="11"/>
  <c r="AR67" i="11"/>
  <c r="AR68" i="11"/>
  <c r="AR69" i="11"/>
  <c r="AR70" i="11"/>
  <c r="AR71" i="11"/>
  <c r="AR72" i="11"/>
  <c r="AR73" i="11"/>
  <c r="AR74" i="11"/>
  <c r="AR75" i="11"/>
  <c r="AR76" i="11"/>
  <c r="AR77" i="11"/>
  <c r="AR78" i="11"/>
  <c r="AR79" i="11"/>
  <c r="AR80" i="11"/>
  <c r="AR81" i="11"/>
  <c r="AR82" i="11"/>
  <c r="AR83" i="11"/>
  <c r="AR84" i="11"/>
  <c r="AR85" i="11"/>
  <c r="AR86" i="11"/>
  <c r="AR87" i="11"/>
  <c r="AR88" i="11"/>
  <c r="AR89" i="11"/>
  <c r="AR90" i="11"/>
  <c r="AR91" i="11"/>
  <c r="AR92" i="11"/>
  <c r="AR93" i="11"/>
  <c r="AR94" i="11"/>
  <c r="AR95" i="11"/>
  <c r="AR96" i="11"/>
  <c r="AR97" i="11"/>
  <c r="AR98" i="11"/>
  <c r="AR99" i="11"/>
  <c r="AR100" i="11"/>
  <c r="AR101" i="11"/>
  <c r="AR102" i="11"/>
  <c r="AR103" i="11"/>
  <c r="AR104" i="11"/>
  <c r="AR105" i="11"/>
  <c r="AR106" i="11"/>
  <c r="AR107" i="11"/>
  <c r="AR108" i="11"/>
  <c r="AR109" i="11"/>
  <c r="AR110" i="11"/>
  <c r="AR111" i="11"/>
  <c r="AR112" i="11"/>
  <c r="AR113" i="11"/>
  <c r="AR114" i="11"/>
  <c r="AR115" i="11"/>
  <c r="AR116" i="11"/>
  <c r="AR117" i="11"/>
  <c r="AR118" i="11"/>
  <c r="AR119" i="11"/>
  <c r="AR120" i="11"/>
  <c r="AR121" i="11"/>
  <c r="AR122" i="11"/>
  <c r="AR123" i="11"/>
  <c r="AR124" i="11"/>
  <c r="AR125" i="11"/>
  <c r="AR126" i="11"/>
  <c r="AR127" i="11"/>
  <c r="AR128" i="11"/>
  <c r="AR129" i="11"/>
  <c r="AR130" i="11"/>
  <c r="AR131" i="11"/>
  <c r="AR132" i="11"/>
  <c r="AR133" i="11"/>
  <c r="AR134" i="11"/>
  <c r="AR135" i="11"/>
  <c r="AR136" i="11"/>
  <c r="AR137" i="11"/>
  <c r="AR138" i="11"/>
  <c r="AR139" i="11"/>
  <c r="AR140" i="11"/>
  <c r="AR141" i="11"/>
  <c r="AR142" i="11"/>
  <c r="AR143" i="11"/>
  <c r="AR144" i="11"/>
  <c r="AR145" i="11"/>
  <c r="AR146" i="11"/>
  <c r="AR147" i="11"/>
  <c r="AR148" i="11"/>
  <c r="AR149" i="11"/>
  <c r="AR150" i="11"/>
  <c r="AR151" i="11"/>
  <c r="AR152" i="11"/>
  <c r="AR153" i="11"/>
  <c r="AR154" i="11"/>
  <c r="AR155" i="11"/>
  <c r="AR156" i="11"/>
  <c r="AR157" i="11"/>
  <c r="AR158" i="11"/>
  <c r="AR159" i="11"/>
  <c r="AR160" i="11"/>
  <c r="AR161" i="11"/>
  <c r="AR162" i="11"/>
  <c r="AR163" i="11"/>
  <c r="AR164" i="11"/>
  <c r="AR165" i="11"/>
  <c r="AR166" i="11"/>
  <c r="AR167" i="11"/>
  <c r="AR168" i="11"/>
  <c r="AR169" i="11"/>
  <c r="AR170" i="11"/>
  <c r="AR171" i="11"/>
  <c r="AR172" i="11"/>
  <c r="AR173" i="11"/>
  <c r="AR174" i="11"/>
  <c r="AR175" i="11"/>
  <c r="AR176" i="11"/>
  <c r="AR177" i="11"/>
  <c r="AR178" i="11"/>
  <c r="AR179" i="11"/>
  <c r="AR180" i="11"/>
  <c r="AR181" i="11"/>
  <c r="AR182" i="11"/>
  <c r="AR183" i="11"/>
  <c r="AR184" i="11"/>
  <c r="AR185" i="11"/>
  <c r="AR186" i="11"/>
  <c r="AR187" i="11"/>
  <c r="AR188" i="11"/>
  <c r="AR189" i="11"/>
  <c r="AR190" i="11"/>
  <c r="AR191" i="11"/>
  <c r="AR192" i="11"/>
  <c r="AR193" i="11"/>
  <c r="AR194" i="11"/>
  <c r="AR195" i="11"/>
  <c r="AR196" i="11"/>
  <c r="AR197" i="11"/>
  <c r="AR198" i="11"/>
  <c r="AR199" i="11"/>
  <c r="AR201" i="11"/>
  <c r="AR202" i="11"/>
  <c r="AR203" i="11"/>
  <c r="AR204" i="11"/>
  <c r="AR205" i="11"/>
  <c r="AR206" i="11"/>
  <c r="AR207" i="11"/>
  <c r="AR208" i="11"/>
  <c r="AR209" i="11"/>
  <c r="AR210" i="11"/>
  <c r="AR211" i="11"/>
  <c r="AR212" i="11"/>
  <c r="AR213" i="11"/>
  <c r="AR214" i="11"/>
  <c r="AR215" i="11"/>
  <c r="AR216" i="11"/>
  <c r="AR217" i="11"/>
  <c r="AR218" i="11"/>
  <c r="AR219" i="11"/>
  <c r="AR220" i="11"/>
  <c r="AR221" i="11"/>
  <c r="AR222" i="11"/>
  <c r="AR223" i="11"/>
  <c r="AR224" i="11"/>
  <c r="AR225" i="11"/>
  <c r="AR226" i="11"/>
  <c r="AR227" i="11"/>
  <c r="AR228" i="11"/>
  <c r="AR229" i="11"/>
  <c r="AR230" i="11"/>
  <c r="AR231" i="11"/>
  <c r="AR232" i="11"/>
  <c r="AR233" i="11"/>
  <c r="AR234" i="11"/>
  <c r="AR235" i="11"/>
  <c r="AR236" i="11"/>
  <c r="AR237" i="11"/>
  <c r="AR238" i="11"/>
  <c r="AR239" i="11"/>
  <c r="AR240" i="11"/>
  <c r="AR241" i="11"/>
  <c r="AR242" i="11"/>
  <c r="AR2" i="11"/>
  <c r="AQ3" i="11"/>
  <c r="AQ4" i="11"/>
  <c r="AQ5" i="11"/>
  <c r="AQ6" i="11"/>
  <c r="AQ7" i="11"/>
  <c r="AQ8" i="11"/>
  <c r="AQ9" i="11"/>
  <c r="AQ10" i="11"/>
  <c r="AQ11" i="11"/>
  <c r="AQ12" i="11"/>
  <c r="AQ13" i="11"/>
  <c r="AQ14" i="11"/>
  <c r="AQ15" i="11"/>
  <c r="AQ16" i="11"/>
  <c r="AQ17" i="11"/>
  <c r="AQ18" i="11"/>
  <c r="AQ19" i="11"/>
  <c r="AQ20" i="11"/>
  <c r="AQ21" i="11"/>
  <c r="AQ22" i="11"/>
  <c r="AQ23" i="11"/>
  <c r="AQ24" i="11"/>
  <c r="AQ25" i="11"/>
  <c r="AQ26" i="11"/>
  <c r="AQ27" i="11"/>
  <c r="AQ28" i="11"/>
  <c r="AQ29" i="11"/>
  <c r="AQ30" i="11"/>
  <c r="AQ31" i="11"/>
  <c r="AQ32" i="11"/>
  <c r="AQ33" i="11"/>
  <c r="AQ34" i="11"/>
  <c r="AQ35" i="11"/>
  <c r="AQ36" i="11"/>
  <c r="AQ37" i="11"/>
  <c r="AQ38" i="11"/>
  <c r="AQ39" i="11"/>
  <c r="AQ40" i="11"/>
  <c r="AQ41" i="11"/>
  <c r="AQ42" i="11"/>
  <c r="AQ43" i="11"/>
  <c r="AQ44" i="11"/>
  <c r="AQ45" i="11"/>
  <c r="AQ46" i="11"/>
  <c r="AQ47" i="11"/>
  <c r="AQ48" i="11"/>
  <c r="AQ49" i="11"/>
  <c r="AQ50" i="11"/>
  <c r="AQ51" i="11"/>
  <c r="AQ52" i="11"/>
  <c r="AQ53" i="11"/>
  <c r="AQ54" i="11"/>
  <c r="AQ55" i="11"/>
  <c r="AQ56" i="11"/>
  <c r="AQ57" i="11"/>
  <c r="AQ58" i="11"/>
  <c r="AQ59" i="11"/>
  <c r="AQ60" i="11"/>
  <c r="AQ61" i="11"/>
  <c r="AQ62" i="11"/>
  <c r="AQ63" i="11"/>
  <c r="AQ64" i="11"/>
  <c r="AQ65" i="11"/>
  <c r="AQ66" i="11"/>
  <c r="AQ67" i="11"/>
  <c r="AQ68" i="11"/>
  <c r="AQ69" i="11"/>
  <c r="AQ70" i="11"/>
  <c r="AQ71" i="11"/>
  <c r="AQ72" i="11"/>
  <c r="AQ73" i="11"/>
  <c r="AQ74" i="11"/>
  <c r="AQ75" i="11"/>
  <c r="AQ76" i="11"/>
  <c r="AQ77" i="11"/>
  <c r="AQ78" i="11"/>
  <c r="AQ79" i="11"/>
  <c r="AQ80" i="11"/>
  <c r="AQ81" i="11"/>
  <c r="AQ82" i="11"/>
  <c r="AQ83" i="11"/>
  <c r="AQ84" i="11"/>
  <c r="AQ85" i="11"/>
  <c r="AQ86" i="11"/>
  <c r="AQ87" i="11"/>
  <c r="AQ88" i="11"/>
  <c r="AQ89" i="11"/>
  <c r="AQ90" i="11"/>
  <c r="AQ91" i="11"/>
  <c r="AQ92" i="11"/>
  <c r="AQ93" i="11"/>
  <c r="AQ94" i="11"/>
  <c r="AQ95" i="11"/>
  <c r="AQ96" i="11"/>
  <c r="AQ97" i="11"/>
  <c r="AQ98" i="11"/>
  <c r="AQ99" i="11"/>
  <c r="AQ100" i="11"/>
  <c r="AQ101" i="11"/>
  <c r="AQ102" i="11"/>
  <c r="AQ103" i="11"/>
  <c r="AQ104" i="11"/>
  <c r="AQ105" i="11"/>
  <c r="AQ106" i="11"/>
  <c r="AQ107" i="11"/>
  <c r="AQ108" i="11"/>
  <c r="AQ109" i="11"/>
  <c r="AQ110" i="11"/>
  <c r="AQ111" i="11"/>
  <c r="AQ112" i="11"/>
  <c r="AQ113" i="11"/>
  <c r="AQ114" i="11"/>
  <c r="AQ115" i="11"/>
  <c r="AQ116" i="11"/>
  <c r="AQ117" i="11"/>
  <c r="AQ118" i="11"/>
  <c r="AQ119" i="11"/>
  <c r="AQ120" i="11"/>
  <c r="AQ121" i="11"/>
  <c r="AQ122" i="11"/>
  <c r="AQ123" i="11"/>
  <c r="AQ124" i="11"/>
  <c r="AQ125" i="11"/>
  <c r="AQ126" i="11"/>
  <c r="AQ127" i="11"/>
  <c r="AQ128" i="11"/>
  <c r="AQ129" i="11"/>
  <c r="AQ130" i="11"/>
  <c r="AQ131" i="11"/>
  <c r="AQ132" i="11"/>
  <c r="AQ133" i="11"/>
  <c r="AQ134" i="11"/>
  <c r="AQ135" i="11"/>
  <c r="AQ136" i="11"/>
  <c r="AQ137" i="11"/>
  <c r="AQ138" i="11"/>
  <c r="AQ139" i="11"/>
  <c r="AQ140" i="11"/>
  <c r="AQ141" i="11"/>
  <c r="AQ142" i="11"/>
  <c r="AQ143" i="11"/>
  <c r="AQ144" i="11"/>
  <c r="AQ145" i="11"/>
  <c r="AQ146" i="11"/>
  <c r="AQ147" i="11"/>
  <c r="AQ148" i="11"/>
  <c r="AQ149" i="11"/>
  <c r="AQ150" i="11"/>
  <c r="AQ151" i="11"/>
  <c r="AQ152" i="11"/>
  <c r="AQ153" i="11"/>
  <c r="AQ154" i="11"/>
  <c r="AQ155" i="11"/>
  <c r="AQ156" i="11"/>
  <c r="AQ157" i="11"/>
  <c r="AQ158" i="11"/>
  <c r="AQ159" i="11"/>
  <c r="AQ160" i="11"/>
  <c r="AQ161" i="11"/>
  <c r="AQ162" i="11"/>
  <c r="AQ163" i="11"/>
  <c r="AQ164" i="11"/>
  <c r="AQ165" i="11"/>
  <c r="AQ166" i="11"/>
  <c r="AQ167" i="11"/>
  <c r="AQ168" i="11"/>
  <c r="AQ169" i="11"/>
  <c r="AQ170" i="11"/>
  <c r="AQ171" i="11"/>
  <c r="AQ172" i="11"/>
  <c r="AQ173" i="11"/>
  <c r="AQ174" i="11"/>
  <c r="AQ175" i="11"/>
  <c r="AQ176" i="11"/>
  <c r="AQ177" i="11"/>
  <c r="AQ178" i="11"/>
  <c r="AQ179" i="11"/>
  <c r="AQ180" i="11"/>
  <c r="AQ181" i="11"/>
  <c r="AQ182" i="11"/>
  <c r="AQ183" i="11"/>
  <c r="AQ184" i="11"/>
  <c r="AQ185" i="11"/>
  <c r="AQ186" i="11"/>
  <c r="AQ187" i="11"/>
  <c r="AQ188" i="11"/>
  <c r="AQ189" i="11"/>
  <c r="AQ190" i="11"/>
  <c r="AQ191" i="11"/>
  <c r="AQ192" i="11"/>
  <c r="AQ193" i="11"/>
  <c r="AQ194" i="11"/>
  <c r="AQ195" i="11"/>
  <c r="AQ196" i="11"/>
  <c r="AQ197" i="11"/>
  <c r="AQ198" i="11"/>
  <c r="AQ199" i="11"/>
  <c r="AQ201" i="11"/>
  <c r="AQ202" i="11"/>
  <c r="AQ203" i="11"/>
  <c r="AQ204" i="11"/>
  <c r="AQ205" i="11"/>
  <c r="AQ206" i="11"/>
  <c r="AQ207" i="11"/>
  <c r="AQ208" i="11"/>
  <c r="AQ209" i="11"/>
  <c r="AQ210" i="11"/>
  <c r="AQ211" i="11"/>
  <c r="AQ212" i="11"/>
  <c r="AQ213" i="11"/>
  <c r="AQ214" i="11"/>
  <c r="AQ215" i="11"/>
  <c r="AQ216" i="11"/>
  <c r="AQ217" i="11"/>
  <c r="AQ218" i="11"/>
  <c r="AQ219" i="11"/>
  <c r="AQ220" i="11"/>
  <c r="AQ221" i="11"/>
  <c r="AQ222" i="11"/>
  <c r="AQ223" i="11"/>
  <c r="AQ224" i="11"/>
  <c r="AQ225" i="11"/>
  <c r="AQ226" i="11"/>
  <c r="AQ227" i="11"/>
  <c r="AQ228" i="11"/>
  <c r="AQ229" i="11"/>
  <c r="AQ230" i="11"/>
  <c r="AQ231" i="11"/>
  <c r="AQ232" i="11"/>
  <c r="AQ233" i="11"/>
  <c r="AQ234" i="11"/>
  <c r="AQ235" i="11"/>
  <c r="AQ236" i="11"/>
  <c r="AQ237" i="11"/>
  <c r="AQ238" i="11"/>
  <c r="AQ239" i="11"/>
  <c r="AQ240" i="11"/>
  <c r="AQ241" i="11"/>
  <c r="AQ242" i="11"/>
  <c r="AQ2" i="11"/>
  <c r="AP3" i="11"/>
  <c r="AP4" i="11"/>
  <c r="AP5" i="11"/>
  <c r="AP6" i="11"/>
  <c r="AP7" i="11"/>
  <c r="AP8" i="11"/>
  <c r="AP9" i="11"/>
  <c r="AP10" i="11"/>
  <c r="AP11" i="11"/>
  <c r="AP12" i="11"/>
  <c r="AP13" i="11"/>
  <c r="AP14" i="11"/>
  <c r="AP15" i="11"/>
  <c r="AP16" i="11"/>
  <c r="AP17" i="11"/>
  <c r="AP18" i="11"/>
  <c r="AP19" i="11"/>
  <c r="AP20" i="11"/>
  <c r="AP21" i="11"/>
  <c r="AP22" i="11"/>
  <c r="AP23" i="11"/>
  <c r="AP24" i="11"/>
  <c r="AP25" i="11"/>
  <c r="AP26" i="11"/>
  <c r="AP27" i="11"/>
  <c r="AP28" i="11"/>
  <c r="AP29" i="11"/>
  <c r="AP30" i="11"/>
  <c r="AP31" i="11"/>
  <c r="AP32" i="11"/>
  <c r="AP33" i="11"/>
  <c r="AP34" i="11"/>
  <c r="AP35" i="11"/>
  <c r="AP36" i="11"/>
  <c r="AP37" i="11"/>
  <c r="AP38" i="11"/>
  <c r="AP39" i="11"/>
  <c r="AP40" i="11"/>
  <c r="AP41" i="11"/>
  <c r="AP42" i="11"/>
  <c r="AP43" i="11"/>
  <c r="AP44" i="11"/>
  <c r="AP45" i="11"/>
  <c r="AP46" i="11"/>
  <c r="AP47" i="11"/>
  <c r="AP48" i="11"/>
  <c r="AP49" i="11"/>
  <c r="AP50" i="11"/>
  <c r="AP51" i="11"/>
  <c r="AP52" i="11"/>
  <c r="AP53" i="11"/>
  <c r="AP54" i="11"/>
  <c r="AP55" i="11"/>
  <c r="AP56" i="11"/>
  <c r="AP57" i="11"/>
  <c r="AP58" i="11"/>
  <c r="AP59" i="11"/>
  <c r="AP60" i="11"/>
  <c r="AP61" i="11"/>
  <c r="AP62" i="11"/>
  <c r="AP63" i="11"/>
  <c r="AP64" i="11"/>
  <c r="AP65" i="11"/>
  <c r="AP66" i="11"/>
  <c r="AP67" i="11"/>
  <c r="AP68" i="11"/>
  <c r="AP69" i="11"/>
  <c r="AP70" i="11"/>
  <c r="AP71" i="11"/>
  <c r="AP72" i="11"/>
  <c r="AP73" i="11"/>
  <c r="AP74" i="11"/>
  <c r="AP75" i="11"/>
  <c r="AP76" i="11"/>
  <c r="AP77" i="11"/>
  <c r="AP78" i="11"/>
  <c r="AP79" i="11"/>
  <c r="AP80" i="11"/>
  <c r="AP81" i="11"/>
  <c r="AP82" i="11"/>
  <c r="AP83" i="11"/>
  <c r="AP84" i="11"/>
  <c r="AP85" i="11"/>
  <c r="AP86" i="11"/>
  <c r="AP87" i="11"/>
  <c r="AP88" i="11"/>
  <c r="AP89" i="11"/>
  <c r="AP90" i="11"/>
  <c r="AP91" i="11"/>
  <c r="AP92" i="11"/>
  <c r="AP93" i="11"/>
  <c r="AP94" i="11"/>
  <c r="AP95" i="11"/>
  <c r="AP96" i="11"/>
  <c r="AP97" i="11"/>
  <c r="AP98" i="11"/>
  <c r="AP99" i="11"/>
  <c r="AP100" i="11"/>
  <c r="AP101" i="11"/>
  <c r="AP102" i="11"/>
  <c r="AP103" i="11"/>
  <c r="AP104" i="11"/>
  <c r="AP105" i="11"/>
  <c r="AP106" i="11"/>
  <c r="AP107" i="11"/>
  <c r="AP108" i="11"/>
  <c r="AP109" i="11"/>
  <c r="AP110" i="11"/>
  <c r="AP111" i="11"/>
  <c r="AP112" i="11"/>
  <c r="AP113" i="11"/>
  <c r="AP114" i="11"/>
  <c r="AP115" i="11"/>
  <c r="AP116" i="11"/>
  <c r="AP117" i="11"/>
  <c r="AP118" i="11"/>
  <c r="AP119" i="11"/>
  <c r="AP120" i="11"/>
  <c r="AP121" i="11"/>
  <c r="AP122" i="11"/>
  <c r="AP123" i="11"/>
  <c r="AP124" i="11"/>
  <c r="AP125" i="11"/>
  <c r="AP126" i="11"/>
  <c r="AP127" i="11"/>
  <c r="AP128" i="11"/>
  <c r="AP129" i="11"/>
  <c r="AP130" i="11"/>
  <c r="AP131" i="11"/>
  <c r="AP132" i="11"/>
  <c r="AP133" i="11"/>
  <c r="AP134" i="11"/>
  <c r="AP135" i="11"/>
  <c r="AP136" i="11"/>
  <c r="AP137" i="11"/>
  <c r="AP138" i="11"/>
  <c r="AP139" i="11"/>
  <c r="AP140" i="11"/>
  <c r="AP141" i="11"/>
  <c r="AP142" i="11"/>
  <c r="AP143" i="11"/>
  <c r="AP144" i="11"/>
  <c r="AP145" i="11"/>
  <c r="AP146" i="11"/>
  <c r="AP147" i="11"/>
  <c r="AP148" i="11"/>
  <c r="AP149" i="11"/>
  <c r="AP150" i="11"/>
  <c r="AP151" i="11"/>
  <c r="AP152" i="11"/>
  <c r="AP153" i="11"/>
  <c r="AP154" i="11"/>
  <c r="AP155" i="11"/>
  <c r="AP156" i="11"/>
  <c r="AP157" i="11"/>
  <c r="AP158" i="11"/>
  <c r="AP159" i="11"/>
  <c r="AP160" i="11"/>
  <c r="AP161" i="11"/>
  <c r="AP162" i="11"/>
  <c r="AP163" i="11"/>
  <c r="AP164" i="11"/>
  <c r="AP165" i="11"/>
  <c r="AP166" i="11"/>
  <c r="AP167" i="11"/>
  <c r="AP168" i="11"/>
  <c r="AP169" i="11"/>
  <c r="AP170" i="11"/>
  <c r="AP171" i="11"/>
  <c r="AP172" i="11"/>
  <c r="AP173" i="11"/>
  <c r="AP174" i="11"/>
  <c r="AP175" i="11"/>
  <c r="AP176" i="11"/>
  <c r="AP177" i="11"/>
  <c r="AP178" i="11"/>
  <c r="AP179" i="11"/>
  <c r="AP180" i="11"/>
  <c r="AP181" i="11"/>
  <c r="AP182" i="11"/>
  <c r="AP183" i="11"/>
  <c r="AP184" i="11"/>
  <c r="AP185" i="11"/>
  <c r="AP186" i="11"/>
  <c r="AP187" i="11"/>
  <c r="AP188" i="11"/>
  <c r="AP189" i="11"/>
  <c r="AP190" i="11"/>
  <c r="AP191" i="11"/>
  <c r="AP192" i="11"/>
  <c r="AP193" i="11"/>
  <c r="AP194" i="11"/>
  <c r="AP195" i="11"/>
  <c r="AP196" i="11"/>
  <c r="AP197" i="11"/>
  <c r="AP198" i="11"/>
  <c r="AP199" i="11"/>
  <c r="AP201" i="11"/>
  <c r="AP202" i="11"/>
  <c r="AP203" i="11"/>
  <c r="AP204" i="11"/>
  <c r="AP205" i="11"/>
  <c r="AP206" i="11"/>
  <c r="AP207" i="11"/>
  <c r="AP208" i="11"/>
  <c r="AP209" i="11"/>
  <c r="AP210" i="11"/>
  <c r="AP211" i="11"/>
  <c r="AP212" i="11"/>
  <c r="AP213" i="11"/>
  <c r="AP214" i="11"/>
  <c r="AP215" i="11"/>
  <c r="AP216" i="11"/>
  <c r="AP217" i="11"/>
  <c r="AP218" i="11"/>
  <c r="AP219" i="11"/>
  <c r="AP220" i="11"/>
  <c r="AP221" i="11"/>
  <c r="AP222" i="11"/>
  <c r="AP223" i="11"/>
  <c r="AP224" i="11"/>
  <c r="AP225" i="11"/>
  <c r="AP226" i="11"/>
  <c r="AP227" i="11"/>
  <c r="AP228" i="11"/>
  <c r="AP229" i="11"/>
  <c r="AP230" i="11"/>
  <c r="AP231" i="11"/>
  <c r="AP232" i="11"/>
  <c r="AP233" i="11"/>
  <c r="AP234" i="11"/>
  <c r="AP235" i="11"/>
  <c r="AP236" i="11"/>
  <c r="AP237" i="11"/>
  <c r="AP238" i="11"/>
  <c r="AP239" i="11"/>
  <c r="AP240" i="11"/>
  <c r="AP241" i="11"/>
  <c r="AP242" i="11"/>
  <c r="AP2" i="11"/>
  <c r="AO3" i="11"/>
  <c r="AO4" i="11"/>
  <c r="AO5" i="11"/>
  <c r="AO6" i="11"/>
  <c r="AO7" i="11"/>
  <c r="AO8" i="11"/>
  <c r="AO9" i="11"/>
  <c r="AO10" i="11"/>
  <c r="AO11" i="11"/>
  <c r="AO12" i="11"/>
  <c r="AO13" i="11"/>
  <c r="AO14" i="11"/>
  <c r="AO15" i="11"/>
  <c r="AO16" i="11"/>
  <c r="AO17" i="11"/>
  <c r="AO18" i="11"/>
  <c r="AO19" i="11"/>
  <c r="AO20" i="11"/>
  <c r="AO21" i="11"/>
  <c r="AO22" i="11"/>
  <c r="AO23" i="11"/>
  <c r="AO24" i="11"/>
  <c r="AO25" i="11"/>
  <c r="AO26" i="11"/>
  <c r="AO27" i="11"/>
  <c r="AO28" i="11"/>
  <c r="AO29" i="11"/>
  <c r="AO30" i="11"/>
  <c r="AO31" i="11"/>
  <c r="AO32" i="11"/>
  <c r="AO33" i="11"/>
  <c r="AO34" i="11"/>
  <c r="AO35" i="11"/>
  <c r="AO36" i="11"/>
  <c r="AO37" i="11"/>
  <c r="AO38" i="11"/>
  <c r="AO39" i="11"/>
  <c r="AO40" i="11"/>
  <c r="AO41" i="11"/>
  <c r="AO42" i="11"/>
  <c r="AO43" i="11"/>
  <c r="AO44" i="11"/>
  <c r="AO45" i="11"/>
  <c r="AO46" i="11"/>
  <c r="AO47" i="11"/>
  <c r="AO48" i="11"/>
  <c r="AO49" i="11"/>
  <c r="AO50" i="11"/>
  <c r="AO51" i="11"/>
  <c r="AO52" i="11"/>
  <c r="AO53" i="11"/>
  <c r="AO54" i="11"/>
  <c r="AO55" i="11"/>
  <c r="AO56" i="11"/>
  <c r="AO57" i="11"/>
  <c r="AO58" i="11"/>
  <c r="AO59" i="11"/>
  <c r="AO60" i="11"/>
  <c r="AO61" i="11"/>
  <c r="AO62" i="11"/>
  <c r="AO63" i="11"/>
  <c r="AO64" i="11"/>
  <c r="AO65" i="11"/>
  <c r="AO66" i="11"/>
  <c r="AO67" i="11"/>
  <c r="AO68" i="11"/>
  <c r="AO69" i="11"/>
  <c r="AO70" i="11"/>
  <c r="AO71" i="11"/>
  <c r="AO72" i="11"/>
  <c r="AO73" i="11"/>
  <c r="AO74" i="11"/>
  <c r="AO75" i="11"/>
  <c r="AO76" i="11"/>
  <c r="AO77" i="11"/>
  <c r="AO78" i="11"/>
  <c r="AO79" i="11"/>
  <c r="AO80" i="11"/>
  <c r="AO81" i="11"/>
  <c r="AO82" i="11"/>
  <c r="AO83" i="11"/>
  <c r="AO84" i="11"/>
  <c r="AO85" i="11"/>
  <c r="AO86" i="11"/>
  <c r="AO87" i="11"/>
  <c r="AO88" i="11"/>
  <c r="AO89" i="11"/>
  <c r="AO90" i="11"/>
  <c r="AO91" i="11"/>
  <c r="AO92" i="11"/>
  <c r="AO93" i="11"/>
  <c r="AO94" i="11"/>
  <c r="AO95" i="11"/>
  <c r="AO96" i="11"/>
  <c r="AO97" i="11"/>
  <c r="AO98" i="11"/>
  <c r="AO99" i="11"/>
  <c r="AO100" i="11"/>
  <c r="AO101" i="11"/>
  <c r="AO102" i="11"/>
  <c r="AO103" i="11"/>
  <c r="AO104" i="11"/>
  <c r="AO105" i="11"/>
  <c r="AO106" i="11"/>
  <c r="AO107" i="11"/>
  <c r="AO108" i="11"/>
  <c r="AO109" i="11"/>
  <c r="AO110" i="11"/>
  <c r="AO111" i="11"/>
  <c r="AO112" i="11"/>
  <c r="AO113" i="11"/>
  <c r="AO114" i="11"/>
  <c r="AO115" i="11"/>
  <c r="AO116" i="11"/>
  <c r="AO117" i="11"/>
  <c r="AO118" i="11"/>
  <c r="AO119" i="11"/>
  <c r="AO120" i="11"/>
  <c r="AO121" i="11"/>
  <c r="AO122" i="11"/>
  <c r="AO123" i="11"/>
  <c r="AO124" i="11"/>
  <c r="AO125" i="11"/>
  <c r="AO126" i="11"/>
  <c r="AO127" i="11"/>
  <c r="AO128" i="11"/>
  <c r="AO129" i="11"/>
  <c r="AO130" i="11"/>
  <c r="AO131" i="11"/>
  <c r="AO132" i="11"/>
  <c r="AO133" i="11"/>
  <c r="AO134" i="11"/>
  <c r="AO135" i="11"/>
  <c r="AO136" i="11"/>
  <c r="AO137" i="11"/>
  <c r="AO138" i="11"/>
  <c r="AO139" i="11"/>
  <c r="AO140" i="11"/>
  <c r="AO141" i="11"/>
  <c r="AO142" i="11"/>
  <c r="AO143" i="11"/>
  <c r="AO144" i="11"/>
  <c r="AO145" i="11"/>
  <c r="AO146" i="11"/>
  <c r="AO147" i="11"/>
  <c r="AO148" i="11"/>
  <c r="AO149" i="11"/>
  <c r="AO150" i="11"/>
  <c r="AO151" i="11"/>
  <c r="AO152" i="11"/>
  <c r="AO153" i="11"/>
  <c r="AO154" i="11"/>
  <c r="AO155" i="11"/>
  <c r="AO156" i="11"/>
  <c r="AO157" i="11"/>
  <c r="AO158" i="11"/>
  <c r="AO159" i="11"/>
  <c r="AO160" i="11"/>
  <c r="AO161" i="11"/>
  <c r="AO162" i="11"/>
  <c r="AO163" i="11"/>
  <c r="AO164" i="11"/>
  <c r="AO165" i="11"/>
  <c r="AO166" i="11"/>
  <c r="AO167" i="11"/>
  <c r="AO168" i="11"/>
  <c r="AO169" i="11"/>
  <c r="AO170" i="11"/>
  <c r="AO171" i="11"/>
  <c r="AO172" i="11"/>
  <c r="AO173" i="11"/>
  <c r="AO174" i="11"/>
  <c r="AO175" i="11"/>
  <c r="AO176" i="11"/>
  <c r="AO177" i="11"/>
  <c r="AO178" i="11"/>
  <c r="AO179" i="11"/>
  <c r="AO180" i="11"/>
  <c r="AO181" i="11"/>
  <c r="AO182" i="11"/>
  <c r="AO183" i="11"/>
  <c r="AO184" i="11"/>
  <c r="AO185" i="11"/>
  <c r="AO186" i="11"/>
  <c r="AO187" i="11"/>
  <c r="AO188" i="11"/>
  <c r="AO189" i="11"/>
  <c r="AO190" i="11"/>
  <c r="AO191" i="11"/>
  <c r="AO192" i="11"/>
  <c r="AO193" i="11"/>
  <c r="AO194" i="11"/>
  <c r="AO195" i="11"/>
  <c r="AO196" i="11"/>
  <c r="AO197" i="11"/>
  <c r="AO198" i="11"/>
  <c r="AO199" i="11"/>
  <c r="AO201" i="11"/>
  <c r="AO202" i="11"/>
  <c r="AO203" i="11"/>
  <c r="AO204" i="11"/>
  <c r="AO205" i="11"/>
  <c r="AO206" i="11"/>
  <c r="AO207" i="11"/>
  <c r="AO208" i="11"/>
  <c r="AO209" i="11"/>
  <c r="AO210" i="11"/>
  <c r="AO211" i="11"/>
  <c r="AO212" i="11"/>
  <c r="AO213" i="11"/>
  <c r="AO214" i="11"/>
  <c r="AO215" i="11"/>
  <c r="AO216" i="11"/>
  <c r="AO217" i="11"/>
  <c r="AO218" i="11"/>
  <c r="AO219" i="11"/>
  <c r="AO220" i="11"/>
  <c r="AO221" i="11"/>
  <c r="AO222" i="11"/>
  <c r="AO223" i="11"/>
  <c r="AO224" i="11"/>
  <c r="AO225" i="11"/>
  <c r="AO226" i="11"/>
  <c r="AO227" i="11"/>
  <c r="AO228" i="11"/>
  <c r="AO229" i="11"/>
  <c r="AO230" i="11"/>
  <c r="AO231" i="11"/>
  <c r="AO232" i="11"/>
  <c r="AO233" i="11"/>
  <c r="AO234" i="11"/>
  <c r="AO235" i="11"/>
  <c r="AO236" i="11"/>
  <c r="AO237" i="11"/>
  <c r="AO238" i="11"/>
  <c r="AO239" i="11"/>
  <c r="AO240" i="11"/>
  <c r="AO241" i="11"/>
  <c r="AO242" i="11"/>
  <c r="AO2" i="11"/>
  <c r="AN3" i="11"/>
  <c r="AN4" i="11"/>
  <c r="AN5" i="11"/>
  <c r="AN6" i="11"/>
  <c r="AN7" i="11"/>
  <c r="AN8" i="11"/>
  <c r="AN9" i="11"/>
  <c r="AN10" i="11"/>
  <c r="AN11" i="11"/>
  <c r="AN12" i="11"/>
  <c r="AN13" i="11"/>
  <c r="AN14" i="11"/>
  <c r="AN15" i="11"/>
  <c r="AN16" i="11"/>
  <c r="AN17" i="11"/>
  <c r="AN18" i="11"/>
  <c r="AN19" i="11"/>
  <c r="AN20" i="11"/>
  <c r="AN21" i="11"/>
  <c r="AN22" i="11"/>
  <c r="AN23" i="11"/>
  <c r="AN24" i="11"/>
  <c r="AN25" i="11"/>
  <c r="AN26" i="11"/>
  <c r="AN27" i="11"/>
  <c r="AN28" i="11"/>
  <c r="AN29" i="11"/>
  <c r="AN30" i="11"/>
  <c r="AN31" i="11"/>
  <c r="AN32" i="11"/>
  <c r="AN33" i="11"/>
  <c r="AN34" i="11"/>
  <c r="AN35" i="11"/>
  <c r="AN36" i="11"/>
  <c r="AN37" i="11"/>
  <c r="AN38" i="11"/>
  <c r="AN39" i="11"/>
  <c r="AN40" i="11"/>
  <c r="AN41" i="11"/>
  <c r="AN42" i="11"/>
  <c r="AN43" i="11"/>
  <c r="AN44" i="11"/>
  <c r="AN45" i="11"/>
  <c r="AN46" i="11"/>
  <c r="AN47" i="11"/>
  <c r="AN48" i="11"/>
  <c r="AN49" i="11"/>
  <c r="AN50" i="11"/>
  <c r="AN51" i="11"/>
  <c r="AN52" i="11"/>
  <c r="AN53" i="11"/>
  <c r="AN54" i="11"/>
  <c r="AN55" i="11"/>
  <c r="AN56" i="11"/>
  <c r="AN57" i="11"/>
  <c r="AN58" i="11"/>
  <c r="AN59" i="11"/>
  <c r="AN60" i="11"/>
  <c r="AN61" i="11"/>
  <c r="AN62" i="11"/>
  <c r="AN63" i="11"/>
  <c r="AN64" i="11"/>
  <c r="AN65" i="11"/>
  <c r="AN66" i="11"/>
  <c r="AN67" i="11"/>
  <c r="AN68" i="11"/>
  <c r="AN69" i="11"/>
  <c r="AN70" i="11"/>
  <c r="AN71" i="11"/>
  <c r="AN72" i="11"/>
  <c r="AN73" i="11"/>
  <c r="AN74" i="11"/>
  <c r="AN75" i="11"/>
  <c r="AN76" i="11"/>
  <c r="AN77" i="11"/>
  <c r="AN78" i="11"/>
  <c r="AN79" i="11"/>
  <c r="AN80" i="11"/>
  <c r="AN81" i="11"/>
  <c r="AN82" i="11"/>
  <c r="AN83" i="11"/>
  <c r="AN84" i="11"/>
  <c r="AN85" i="11"/>
  <c r="AN86" i="11"/>
  <c r="AN87" i="11"/>
  <c r="AN88" i="11"/>
  <c r="AN89" i="11"/>
  <c r="AN90" i="11"/>
  <c r="AN91" i="11"/>
  <c r="AN92" i="11"/>
  <c r="AN93" i="11"/>
  <c r="AN94" i="11"/>
  <c r="AN95" i="11"/>
  <c r="AN96" i="11"/>
  <c r="AN97" i="11"/>
  <c r="AN98" i="11"/>
  <c r="AN99" i="11"/>
  <c r="AN100" i="11"/>
  <c r="AN101" i="11"/>
  <c r="AN102" i="11"/>
  <c r="AN103" i="11"/>
  <c r="AN104" i="11"/>
  <c r="AN105" i="11"/>
  <c r="AN106" i="11"/>
  <c r="AN107" i="11"/>
  <c r="AN108" i="11"/>
  <c r="AN109" i="11"/>
  <c r="AN110" i="11"/>
  <c r="AN111" i="11"/>
  <c r="AN112" i="11"/>
  <c r="AN113" i="11"/>
  <c r="AN114" i="11"/>
  <c r="AN115" i="11"/>
  <c r="AN116" i="11"/>
  <c r="AN117" i="11"/>
  <c r="AN118" i="11"/>
  <c r="AN119" i="11"/>
  <c r="AN120" i="11"/>
  <c r="AN121" i="11"/>
  <c r="AN122" i="11"/>
  <c r="AN123" i="11"/>
  <c r="AN124" i="11"/>
  <c r="AN125" i="11"/>
  <c r="AN126" i="11"/>
  <c r="AN127" i="11"/>
  <c r="AN128" i="11"/>
  <c r="AN129" i="11"/>
  <c r="AN130" i="11"/>
  <c r="AN131" i="11"/>
  <c r="AN132" i="11"/>
  <c r="AN133" i="11"/>
  <c r="AN134" i="11"/>
  <c r="AN135" i="11"/>
  <c r="AN136" i="11"/>
  <c r="AN137" i="11"/>
  <c r="AN138" i="11"/>
  <c r="AN139" i="11"/>
  <c r="AN140" i="11"/>
  <c r="AN141" i="11"/>
  <c r="AN142" i="11"/>
  <c r="AN143" i="11"/>
  <c r="AN144" i="11"/>
  <c r="AN145" i="11"/>
  <c r="AN146" i="11"/>
  <c r="AN147" i="11"/>
  <c r="AN148" i="11"/>
  <c r="AN149" i="11"/>
  <c r="AN150" i="11"/>
  <c r="AN151" i="11"/>
  <c r="AN152" i="11"/>
  <c r="AN153" i="11"/>
  <c r="AN154" i="11"/>
  <c r="AN155" i="11"/>
  <c r="AN156" i="11"/>
  <c r="AN157" i="11"/>
  <c r="AN158" i="11"/>
  <c r="AN159" i="11"/>
  <c r="AN160" i="11"/>
  <c r="AN161" i="11"/>
  <c r="AN162" i="11"/>
  <c r="AN163" i="11"/>
  <c r="AN164" i="11"/>
  <c r="AN165" i="11"/>
  <c r="AN166" i="11"/>
  <c r="AN167" i="11"/>
  <c r="AN168" i="11"/>
  <c r="AN169" i="11"/>
  <c r="AN170" i="11"/>
  <c r="AN171" i="11"/>
  <c r="AN172" i="11"/>
  <c r="AN173" i="11"/>
  <c r="AN174" i="11"/>
  <c r="AN175" i="11"/>
  <c r="AN176" i="11"/>
  <c r="AN177" i="11"/>
  <c r="AN178" i="11"/>
  <c r="AN179" i="11"/>
  <c r="AN180" i="11"/>
  <c r="AN181" i="11"/>
  <c r="AN182" i="11"/>
  <c r="AN183" i="11"/>
  <c r="AN184" i="11"/>
  <c r="AN185" i="11"/>
  <c r="AN186" i="11"/>
  <c r="AN187" i="11"/>
  <c r="AN188" i="11"/>
  <c r="AN189" i="11"/>
  <c r="AN190" i="11"/>
  <c r="AN191" i="11"/>
  <c r="AN192" i="11"/>
  <c r="AN193" i="11"/>
  <c r="AN194" i="11"/>
  <c r="AN195" i="11"/>
  <c r="AN196" i="11"/>
  <c r="AN197" i="11"/>
  <c r="AN198" i="11"/>
  <c r="AN199" i="11"/>
  <c r="AN201" i="11"/>
  <c r="AN202" i="11"/>
  <c r="AN203" i="11"/>
  <c r="AN204" i="11"/>
  <c r="AN205" i="11"/>
  <c r="AN206" i="11"/>
  <c r="AN207" i="11"/>
  <c r="AN208" i="11"/>
  <c r="AN209" i="11"/>
  <c r="AN210" i="11"/>
  <c r="AN211" i="11"/>
  <c r="AN212" i="11"/>
  <c r="AN213" i="11"/>
  <c r="AN214" i="11"/>
  <c r="AN215" i="11"/>
  <c r="AN216" i="11"/>
  <c r="AN217" i="11"/>
  <c r="AN218" i="11"/>
  <c r="AN219" i="11"/>
  <c r="AN220" i="11"/>
  <c r="AN221" i="11"/>
  <c r="AN222" i="11"/>
  <c r="AN223" i="11"/>
  <c r="AN224" i="11"/>
  <c r="AN225" i="11"/>
  <c r="AN226" i="11"/>
  <c r="AN227" i="11"/>
  <c r="AN228" i="11"/>
  <c r="AN229" i="11"/>
  <c r="AN230" i="11"/>
  <c r="AN231" i="11"/>
  <c r="AN232" i="11"/>
  <c r="AN233" i="11"/>
  <c r="AN234" i="11"/>
  <c r="AN235" i="11"/>
  <c r="AN236" i="11"/>
  <c r="AN237" i="11"/>
  <c r="AN238" i="11"/>
  <c r="AN239" i="11"/>
  <c r="AN240" i="11"/>
  <c r="AN241" i="11"/>
  <c r="AN242" i="11"/>
  <c r="AN2" i="11"/>
  <c r="AM3" i="11"/>
  <c r="AM4" i="11"/>
  <c r="AM5" i="11"/>
  <c r="AM6" i="11"/>
  <c r="AM7" i="11"/>
  <c r="AM8" i="11"/>
  <c r="AM9" i="11"/>
  <c r="AM10" i="11"/>
  <c r="AM11" i="11"/>
  <c r="AM12" i="11"/>
  <c r="AM13" i="11"/>
  <c r="AM14" i="11"/>
  <c r="AM15" i="11"/>
  <c r="AM16" i="11"/>
  <c r="AM17" i="11"/>
  <c r="AM18" i="11"/>
  <c r="AM19" i="11"/>
  <c r="AM20" i="11"/>
  <c r="AM21" i="11"/>
  <c r="AM22" i="11"/>
  <c r="AM23" i="11"/>
  <c r="AM24" i="11"/>
  <c r="AM25" i="11"/>
  <c r="AM26" i="11"/>
  <c r="AM27" i="11"/>
  <c r="AM28" i="11"/>
  <c r="AM29" i="11"/>
  <c r="AM30" i="11"/>
  <c r="AM31" i="11"/>
  <c r="AM32" i="11"/>
  <c r="AM33" i="11"/>
  <c r="AM34" i="11"/>
  <c r="AM35" i="11"/>
  <c r="AM36" i="11"/>
  <c r="AM37" i="11"/>
  <c r="AM38" i="11"/>
  <c r="AM39" i="11"/>
  <c r="AM40" i="11"/>
  <c r="AM41" i="11"/>
  <c r="AM42" i="11"/>
  <c r="AM43" i="11"/>
  <c r="AM44" i="11"/>
  <c r="AM45" i="11"/>
  <c r="AM46" i="11"/>
  <c r="AM47" i="11"/>
  <c r="AM48" i="11"/>
  <c r="AM49" i="11"/>
  <c r="AM50" i="11"/>
  <c r="AM51" i="11"/>
  <c r="AM52" i="11"/>
  <c r="AM53" i="11"/>
  <c r="AM54" i="11"/>
  <c r="AM55" i="11"/>
  <c r="AM56" i="11"/>
  <c r="AM57" i="11"/>
  <c r="AM58" i="11"/>
  <c r="AM59" i="11"/>
  <c r="AM60" i="11"/>
  <c r="AM61" i="11"/>
  <c r="AM62" i="11"/>
  <c r="AM63" i="11"/>
  <c r="AM64" i="11"/>
  <c r="AM65" i="11"/>
  <c r="AM66" i="11"/>
  <c r="AM67" i="11"/>
  <c r="AM68" i="11"/>
  <c r="AM69" i="11"/>
  <c r="AM70" i="11"/>
  <c r="AM71" i="11"/>
  <c r="AM72" i="11"/>
  <c r="AM73" i="11"/>
  <c r="AM74" i="11"/>
  <c r="AM75" i="11"/>
  <c r="AM76" i="11"/>
  <c r="AM77" i="11"/>
  <c r="AM78" i="11"/>
  <c r="AM79" i="11"/>
  <c r="AM80" i="11"/>
  <c r="AM81" i="11"/>
  <c r="AM82" i="11"/>
  <c r="AM83" i="11"/>
  <c r="AM84" i="11"/>
  <c r="AM85" i="11"/>
  <c r="AM86" i="11"/>
  <c r="AM87" i="11"/>
  <c r="AM88" i="11"/>
  <c r="AM89" i="11"/>
  <c r="AM90" i="11"/>
  <c r="AM91" i="11"/>
  <c r="AM92" i="11"/>
  <c r="AM93" i="11"/>
  <c r="AM94" i="11"/>
  <c r="AM95" i="11"/>
  <c r="AM96" i="11"/>
  <c r="AM97" i="11"/>
  <c r="AM98" i="11"/>
  <c r="AM99" i="11"/>
  <c r="AM100" i="11"/>
  <c r="AM101" i="11"/>
  <c r="AM102" i="11"/>
  <c r="AM103" i="11"/>
  <c r="AM104" i="11"/>
  <c r="AM105" i="11"/>
  <c r="AM106" i="11"/>
  <c r="AM107" i="11"/>
  <c r="AM108" i="11"/>
  <c r="AM109" i="11"/>
  <c r="AM110" i="11"/>
  <c r="AM111" i="11"/>
  <c r="AM112" i="11"/>
  <c r="AM113" i="11"/>
  <c r="AM114" i="11"/>
  <c r="AM115" i="11"/>
  <c r="AM116" i="11"/>
  <c r="AM117" i="11"/>
  <c r="AM118" i="11"/>
  <c r="AM119" i="11"/>
  <c r="AM120" i="11"/>
  <c r="AM121" i="11"/>
  <c r="AM122" i="11"/>
  <c r="AM123" i="11"/>
  <c r="AM124" i="11"/>
  <c r="AM125" i="11"/>
  <c r="AM126" i="11"/>
  <c r="AM127" i="11"/>
  <c r="AM128" i="11"/>
  <c r="AM129" i="11"/>
  <c r="AM130" i="11"/>
  <c r="AM131" i="11"/>
  <c r="AM132" i="11"/>
  <c r="AM133" i="11"/>
  <c r="AM134" i="11"/>
  <c r="AM135" i="11"/>
  <c r="AM136" i="11"/>
  <c r="AM137" i="11"/>
  <c r="AM138" i="11"/>
  <c r="AM139" i="11"/>
  <c r="AM140" i="11"/>
  <c r="AM141" i="11"/>
  <c r="AM142" i="11"/>
  <c r="AM143" i="11"/>
  <c r="AM144" i="11"/>
  <c r="AM145" i="11"/>
  <c r="AM146" i="11"/>
  <c r="AM147" i="11"/>
  <c r="AM148" i="11"/>
  <c r="AM149" i="11"/>
  <c r="AM150" i="11"/>
  <c r="AM151" i="11"/>
  <c r="AM152" i="11"/>
  <c r="AM153" i="11"/>
  <c r="AM154" i="11"/>
  <c r="AM155" i="11"/>
  <c r="AM156" i="11"/>
  <c r="AM157" i="11"/>
  <c r="AM158" i="11"/>
  <c r="AM159" i="11"/>
  <c r="AM160" i="11"/>
  <c r="AM161" i="11"/>
  <c r="AM162" i="11"/>
  <c r="AM163" i="11"/>
  <c r="AM164" i="11"/>
  <c r="AM165" i="11"/>
  <c r="AM166" i="11"/>
  <c r="AM167" i="11"/>
  <c r="AM168" i="11"/>
  <c r="AM169" i="11"/>
  <c r="AM170" i="11"/>
  <c r="AM171" i="11"/>
  <c r="AM172" i="11"/>
  <c r="AM173" i="11"/>
  <c r="AM174" i="11"/>
  <c r="AM175" i="11"/>
  <c r="AM176" i="11"/>
  <c r="AM177" i="11"/>
  <c r="AM178" i="11"/>
  <c r="AM179" i="11"/>
  <c r="AM180" i="11"/>
  <c r="AM181" i="11"/>
  <c r="AM182" i="11"/>
  <c r="AM183" i="11"/>
  <c r="AM184" i="11"/>
  <c r="AM185" i="11"/>
  <c r="AM186" i="11"/>
  <c r="AM187" i="11"/>
  <c r="AM188" i="11"/>
  <c r="AM189" i="11"/>
  <c r="AM190" i="11"/>
  <c r="AM191" i="11"/>
  <c r="AM192" i="11"/>
  <c r="AM193" i="11"/>
  <c r="AM194" i="11"/>
  <c r="AM195" i="11"/>
  <c r="AM196" i="11"/>
  <c r="AM197" i="11"/>
  <c r="AM198" i="11"/>
  <c r="AM199" i="11"/>
  <c r="AM201" i="11"/>
  <c r="AM202" i="11"/>
  <c r="AM203" i="11"/>
  <c r="AM204" i="11"/>
  <c r="AM205" i="11"/>
  <c r="AM206" i="11"/>
  <c r="AM207" i="11"/>
  <c r="AM208" i="11"/>
  <c r="AM209" i="11"/>
  <c r="AM210" i="11"/>
  <c r="AM211" i="11"/>
  <c r="AM212" i="11"/>
  <c r="AM213" i="11"/>
  <c r="AM214" i="11"/>
  <c r="AM215" i="11"/>
  <c r="AM216" i="11"/>
  <c r="AM217" i="11"/>
  <c r="AM218" i="11"/>
  <c r="AM219" i="11"/>
  <c r="AM220" i="11"/>
  <c r="AM221" i="11"/>
  <c r="AM222" i="11"/>
  <c r="AM223" i="11"/>
  <c r="AM224" i="11"/>
  <c r="AM225" i="11"/>
  <c r="AM226" i="11"/>
  <c r="AM227" i="11"/>
  <c r="AM228" i="11"/>
  <c r="AM229" i="11"/>
  <c r="AM230" i="11"/>
  <c r="AM231" i="11"/>
  <c r="AM232" i="11"/>
  <c r="AM233" i="11"/>
  <c r="AM234" i="11"/>
  <c r="AM235" i="11"/>
  <c r="AM236" i="11"/>
  <c r="AM237" i="11"/>
  <c r="AM238" i="11"/>
  <c r="AM239" i="11"/>
  <c r="AM240" i="11"/>
  <c r="AM241" i="11"/>
  <c r="AM242" i="11"/>
  <c r="AM2" i="11"/>
  <c r="AL3" i="11"/>
  <c r="AL4" i="11"/>
  <c r="AL5" i="11"/>
  <c r="AL6" i="11"/>
  <c r="AL7" i="11"/>
  <c r="AL8" i="11"/>
  <c r="AL9" i="11"/>
  <c r="AL10" i="11"/>
  <c r="AL11" i="11"/>
  <c r="AL12" i="11"/>
  <c r="AL13" i="11"/>
  <c r="AL14" i="11"/>
  <c r="AL15" i="11"/>
  <c r="AL16" i="11"/>
  <c r="AL17" i="11"/>
  <c r="AL18" i="11"/>
  <c r="AL19" i="11"/>
  <c r="AL20" i="11"/>
  <c r="AL21" i="11"/>
  <c r="AL22" i="11"/>
  <c r="AL23" i="11"/>
  <c r="AL24" i="11"/>
  <c r="AL25" i="11"/>
  <c r="AL26" i="11"/>
  <c r="AL27" i="11"/>
  <c r="AL28" i="11"/>
  <c r="AL29" i="11"/>
  <c r="AL30" i="11"/>
  <c r="AL31" i="11"/>
  <c r="AL32" i="11"/>
  <c r="AL33" i="11"/>
  <c r="AL34" i="11"/>
  <c r="AL35" i="11"/>
  <c r="AL36" i="11"/>
  <c r="AL37" i="11"/>
  <c r="AL38" i="11"/>
  <c r="AL39" i="11"/>
  <c r="AL40" i="11"/>
  <c r="AL41" i="11"/>
  <c r="AL42" i="11"/>
  <c r="AL43" i="11"/>
  <c r="AL44" i="11"/>
  <c r="AL45" i="11"/>
  <c r="AL46" i="11"/>
  <c r="AL47" i="11"/>
  <c r="AL48" i="11"/>
  <c r="AL49" i="11"/>
  <c r="AL50" i="11"/>
  <c r="AL51" i="11"/>
  <c r="AL52" i="11"/>
  <c r="AL53" i="11"/>
  <c r="AL54" i="11"/>
  <c r="AL55" i="11"/>
  <c r="AL56" i="11"/>
  <c r="AL57" i="11"/>
  <c r="AL58" i="11"/>
  <c r="AL59" i="11"/>
  <c r="AL60" i="11"/>
  <c r="AL61" i="11"/>
  <c r="AL62" i="11"/>
  <c r="AL63" i="11"/>
  <c r="AL64" i="11"/>
  <c r="AL65" i="11"/>
  <c r="AL66" i="11"/>
  <c r="AL67" i="11"/>
  <c r="AL68" i="11"/>
  <c r="AL69" i="11"/>
  <c r="AL70" i="11"/>
  <c r="AL71" i="11"/>
  <c r="AL72" i="11"/>
  <c r="AL73" i="11"/>
  <c r="AL74" i="11"/>
  <c r="AL75" i="11"/>
  <c r="AL76" i="11"/>
  <c r="AL77" i="11"/>
  <c r="AL78" i="11"/>
  <c r="AL79" i="11"/>
  <c r="AL80" i="11"/>
  <c r="AL81" i="11"/>
  <c r="AL82" i="11"/>
  <c r="AL83" i="11"/>
  <c r="AL84" i="11"/>
  <c r="AL85" i="11"/>
  <c r="AL86" i="11"/>
  <c r="AL87" i="11"/>
  <c r="AL88" i="11"/>
  <c r="AL89" i="11"/>
  <c r="AL90" i="11"/>
  <c r="AL91" i="11"/>
  <c r="AL92" i="11"/>
  <c r="AL93" i="11"/>
  <c r="AL94" i="11"/>
  <c r="AL95" i="11"/>
  <c r="AL96" i="11"/>
  <c r="AL97" i="11"/>
  <c r="AL98" i="11"/>
  <c r="AL99" i="11"/>
  <c r="AL100" i="11"/>
  <c r="AL101" i="11"/>
  <c r="AL102" i="11"/>
  <c r="AL103" i="11"/>
  <c r="AL104" i="11"/>
  <c r="AL105" i="11"/>
  <c r="AL106" i="11"/>
  <c r="AL107" i="11"/>
  <c r="AL108" i="11"/>
  <c r="AL109" i="11"/>
  <c r="AL110" i="11"/>
  <c r="AL111" i="11"/>
  <c r="AL112" i="11"/>
  <c r="AL113" i="11"/>
  <c r="AL114" i="11"/>
  <c r="AL115" i="11"/>
  <c r="AL116" i="11"/>
  <c r="AL117" i="11"/>
  <c r="AL118" i="11"/>
  <c r="AL119" i="11"/>
  <c r="AL120" i="11"/>
  <c r="AL121" i="11"/>
  <c r="AL122" i="11"/>
  <c r="AL123" i="11"/>
  <c r="AL124" i="11"/>
  <c r="AL125" i="11"/>
  <c r="AL126" i="11"/>
  <c r="AL127" i="11"/>
  <c r="AL128" i="11"/>
  <c r="AL129" i="11"/>
  <c r="AL130" i="11"/>
  <c r="AL131" i="11"/>
  <c r="AL132" i="11"/>
  <c r="AL133" i="11"/>
  <c r="AL134" i="11"/>
  <c r="AL135" i="11"/>
  <c r="AL136" i="11"/>
  <c r="AL137" i="11"/>
  <c r="AL138" i="11"/>
  <c r="AL139" i="11"/>
  <c r="AL140" i="11"/>
  <c r="AL141" i="11"/>
  <c r="AL142" i="11"/>
  <c r="AL143" i="11"/>
  <c r="AL144" i="11"/>
  <c r="AL145" i="11"/>
  <c r="AL146" i="11"/>
  <c r="AL147" i="11"/>
  <c r="AL148" i="11"/>
  <c r="AL149" i="11"/>
  <c r="AL150" i="11"/>
  <c r="AL151" i="11"/>
  <c r="AL152" i="11"/>
  <c r="AL153" i="11"/>
  <c r="AL154" i="11"/>
  <c r="AL155" i="11"/>
  <c r="AL156" i="11"/>
  <c r="AL157" i="11"/>
  <c r="AL158" i="11"/>
  <c r="AL159" i="11"/>
  <c r="AL160" i="11"/>
  <c r="AL161" i="11"/>
  <c r="AL162" i="11"/>
  <c r="AL163" i="11"/>
  <c r="AL164" i="11"/>
  <c r="AL165" i="11"/>
  <c r="AL166" i="11"/>
  <c r="AL167" i="11"/>
  <c r="AL168" i="11"/>
  <c r="AL169" i="11"/>
  <c r="AL170" i="11"/>
  <c r="AL171" i="11"/>
  <c r="AL172" i="11"/>
  <c r="AL173" i="11"/>
  <c r="AL174" i="11"/>
  <c r="AL175" i="11"/>
  <c r="AL176" i="11"/>
  <c r="AL177" i="11"/>
  <c r="AL178" i="11"/>
  <c r="AL179" i="11"/>
  <c r="AL180" i="11"/>
  <c r="AL181" i="11"/>
  <c r="AL182" i="11"/>
  <c r="AL183" i="11"/>
  <c r="AL184" i="11"/>
  <c r="AL185" i="11"/>
  <c r="AL186" i="11"/>
  <c r="AL187" i="11"/>
  <c r="AL188" i="11"/>
  <c r="AL189" i="11"/>
  <c r="AL190" i="11"/>
  <c r="AL191" i="11"/>
  <c r="AL192" i="11"/>
  <c r="AL193" i="11"/>
  <c r="AL194" i="11"/>
  <c r="AL195" i="11"/>
  <c r="AL196" i="11"/>
  <c r="AL197" i="11"/>
  <c r="AL198" i="11"/>
  <c r="AL199" i="11"/>
  <c r="AL201" i="11"/>
  <c r="AL202" i="11"/>
  <c r="AL203" i="11"/>
  <c r="AL204" i="11"/>
  <c r="AL205" i="11"/>
  <c r="AL206" i="11"/>
  <c r="AL207" i="11"/>
  <c r="AL208" i="11"/>
  <c r="AL209" i="11"/>
  <c r="AL210" i="11"/>
  <c r="AL211" i="11"/>
  <c r="AL212" i="11"/>
  <c r="AL213" i="11"/>
  <c r="AL214" i="11"/>
  <c r="AL215" i="11"/>
  <c r="AL216" i="11"/>
  <c r="AL217" i="11"/>
  <c r="AL218" i="11"/>
  <c r="AL219" i="11"/>
  <c r="AL220" i="11"/>
  <c r="AL221" i="11"/>
  <c r="AL222" i="11"/>
  <c r="AL223" i="11"/>
  <c r="AL224" i="11"/>
  <c r="AL225" i="11"/>
  <c r="AL226" i="11"/>
  <c r="AL227" i="11"/>
  <c r="AL228" i="11"/>
  <c r="AL229" i="11"/>
  <c r="AL230" i="11"/>
  <c r="AL231" i="11"/>
  <c r="AL232" i="11"/>
  <c r="AL233" i="11"/>
  <c r="AL234" i="11"/>
  <c r="AL235" i="11"/>
  <c r="AL236" i="11"/>
  <c r="AL237" i="11"/>
  <c r="AL238" i="11"/>
  <c r="AL239" i="11"/>
  <c r="AL240" i="11"/>
  <c r="AL241" i="11"/>
  <c r="AL242" i="11"/>
  <c r="AL2" i="11"/>
  <c r="AK3" i="11"/>
  <c r="AK4" i="11"/>
  <c r="AK5" i="11"/>
  <c r="AK6" i="11"/>
  <c r="AK7" i="11"/>
  <c r="AK8" i="11"/>
  <c r="AK9" i="11"/>
  <c r="AK10" i="11"/>
  <c r="AK11" i="11"/>
  <c r="AK12" i="11"/>
  <c r="AK13" i="11"/>
  <c r="AK14" i="11"/>
  <c r="AK15" i="11"/>
  <c r="AK16" i="11"/>
  <c r="AK17" i="11"/>
  <c r="AK18" i="11"/>
  <c r="AK19" i="11"/>
  <c r="AK20" i="11"/>
  <c r="AK21" i="11"/>
  <c r="AK22" i="11"/>
  <c r="AK23" i="11"/>
  <c r="AK24" i="11"/>
  <c r="AK25" i="11"/>
  <c r="AK26" i="11"/>
  <c r="AK27" i="11"/>
  <c r="AK28" i="11"/>
  <c r="AK29" i="11"/>
  <c r="AK30" i="11"/>
  <c r="AK31" i="11"/>
  <c r="AK32" i="11"/>
  <c r="AK33" i="11"/>
  <c r="AK34" i="11"/>
  <c r="AK35" i="11"/>
  <c r="AK36" i="11"/>
  <c r="AK37" i="11"/>
  <c r="AK38" i="11"/>
  <c r="AK39" i="11"/>
  <c r="AK40" i="11"/>
  <c r="AK41" i="11"/>
  <c r="AK42" i="11"/>
  <c r="AK43" i="11"/>
  <c r="AK44" i="11"/>
  <c r="AK45" i="11"/>
  <c r="AK46" i="11"/>
  <c r="AK47" i="11"/>
  <c r="AK48" i="11"/>
  <c r="AK49" i="11"/>
  <c r="AK50" i="11"/>
  <c r="AK51" i="11"/>
  <c r="AK52" i="11"/>
  <c r="AK53" i="11"/>
  <c r="AK54" i="11"/>
  <c r="AK55" i="11"/>
  <c r="AK56" i="11"/>
  <c r="AK57" i="11"/>
  <c r="AK58" i="11"/>
  <c r="AK59" i="11"/>
  <c r="AK60" i="11"/>
  <c r="AK61" i="11"/>
  <c r="AK62" i="11"/>
  <c r="AK63" i="11"/>
  <c r="AK64" i="11"/>
  <c r="AK65" i="11"/>
  <c r="AK66" i="11"/>
  <c r="AK67" i="11"/>
  <c r="AK68" i="11"/>
  <c r="AK69" i="11"/>
  <c r="AK70" i="11"/>
  <c r="AK71" i="11"/>
  <c r="AK72" i="11"/>
  <c r="AK73" i="11"/>
  <c r="AK74" i="11"/>
  <c r="AK75" i="11"/>
  <c r="AK76" i="11"/>
  <c r="AK77" i="11"/>
  <c r="AK78" i="11"/>
  <c r="AK79" i="11"/>
  <c r="AK80" i="11"/>
  <c r="AK81" i="11"/>
  <c r="AK82" i="11"/>
  <c r="AK83" i="11"/>
  <c r="AK84" i="11"/>
  <c r="AK85" i="11"/>
  <c r="AK86" i="11"/>
  <c r="AK87" i="11"/>
  <c r="AK88" i="11"/>
  <c r="AK89" i="11"/>
  <c r="AK90" i="11"/>
  <c r="AK91" i="11"/>
  <c r="AK92" i="11"/>
  <c r="AK93" i="11"/>
  <c r="AK94" i="11"/>
  <c r="AK95" i="11"/>
  <c r="AK96" i="11"/>
  <c r="AK97" i="11"/>
  <c r="AK98" i="11"/>
  <c r="AK99" i="11"/>
  <c r="AK100" i="11"/>
  <c r="AK101" i="11"/>
  <c r="AK102" i="11"/>
  <c r="AK103" i="11"/>
  <c r="AK104" i="11"/>
  <c r="AK105" i="11"/>
  <c r="AK106" i="11"/>
  <c r="AK107" i="11"/>
  <c r="AK108" i="11"/>
  <c r="AK109" i="11"/>
  <c r="AK110" i="11"/>
  <c r="AK111" i="11"/>
  <c r="AK112" i="11"/>
  <c r="AK113" i="11"/>
  <c r="AK114" i="11"/>
  <c r="AK115" i="11"/>
  <c r="AK116" i="11"/>
  <c r="AK117" i="11"/>
  <c r="AK118" i="11"/>
  <c r="AK119" i="11"/>
  <c r="AK120" i="11"/>
  <c r="AK121" i="11"/>
  <c r="AK122" i="11"/>
  <c r="AK123" i="11"/>
  <c r="AK124" i="11"/>
  <c r="AK125" i="11"/>
  <c r="AK126" i="11"/>
  <c r="AK127" i="11"/>
  <c r="AK128" i="11"/>
  <c r="AK129" i="11"/>
  <c r="AK130" i="11"/>
  <c r="AK131" i="11"/>
  <c r="AK132" i="11"/>
  <c r="AK133" i="11"/>
  <c r="AK134" i="11"/>
  <c r="AK135" i="11"/>
  <c r="AK136" i="11"/>
  <c r="AK137" i="11"/>
  <c r="AK138" i="11"/>
  <c r="AK139" i="11"/>
  <c r="AK140" i="11"/>
  <c r="AK141" i="11"/>
  <c r="AK142" i="11"/>
  <c r="AK143" i="11"/>
  <c r="AK144" i="11"/>
  <c r="AK145" i="11"/>
  <c r="AK146" i="11"/>
  <c r="AK147" i="11"/>
  <c r="AK148" i="11"/>
  <c r="AK149" i="11"/>
  <c r="AK150" i="11"/>
  <c r="AK151" i="11"/>
  <c r="AK152" i="11"/>
  <c r="AK153" i="11"/>
  <c r="AK154" i="11"/>
  <c r="AK155" i="11"/>
  <c r="AK156" i="11"/>
  <c r="AK157" i="11"/>
  <c r="AK158" i="11"/>
  <c r="AK159" i="11"/>
  <c r="AK160" i="11"/>
  <c r="AK161" i="11"/>
  <c r="AK162" i="11"/>
  <c r="AK163" i="11"/>
  <c r="AK164" i="11"/>
  <c r="AK165" i="11"/>
  <c r="AK166" i="11"/>
  <c r="AK167" i="11"/>
  <c r="AK168" i="11"/>
  <c r="AK169" i="11"/>
  <c r="AK170" i="11"/>
  <c r="AK171" i="11"/>
  <c r="AK172" i="11"/>
  <c r="AK173" i="11"/>
  <c r="AK174" i="11"/>
  <c r="AK175" i="11"/>
  <c r="AK176" i="11"/>
  <c r="AK177" i="11"/>
  <c r="AK178" i="11"/>
  <c r="AK179" i="11"/>
  <c r="AK180" i="11"/>
  <c r="AK181" i="11"/>
  <c r="AK182" i="11"/>
  <c r="AK183" i="11"/>
  <c r="AK184" i="11"/>
  <c r="AK185" i="11"/>
  <c r="AK186" i="11"/>
  <c r="AK187" i="11"/>
  <c r="AK188" i="11"/>
  <c r="AK189" i="11"/>
  <c r="AK190" i="11"/>
  <c r="AK191" i="11"/>
  <c r="AK192" i="11"/>
  <c r="AK193" i="11"/>
  <c r="AK194" i="11"/>
  <c r="AK195" i="11"/>
  <c r="AK196" i="11"/>
  <c r="AK197" i="11"/>
  <c r="AK198" i="11"/>
  <c r="AK199" i="11"/>
  <c r="AK201" i="11"/>
  <c r="AK202" i="11"/>
  <c r="AK203" i="11"/>
  <c r="AK204" i="11"/>
  <c r="AK205" i="11"/>
  <c r="AK206" i="11"/>
  <c r="AK207" i="11"/>
  <c r="AK208" i="11"/>
  <c r="AK209" i="11"/>
  <c r="AK210" i="11"/>
  <c r="AK211" i="11"/>
  <c r="AK212" i="11"/>
  <c r="AK213" i="11"/>
  <c r="AK214" i="11"/>
  <c r="AK215" i="11"/>
  <c r="AK216" i="11"/>
  <c r="AK217" i="11"/>
  <c r="AK218" i="11"/>
  <c r="AK219" i="11"/>
  <c r="AK220" i="11"/>
  <c r="AK221" i="11"/>
  <c r="AK222" i="11"/>
  <c r="AK223" i="11"/>
  <c r="AK224" i="11"/>
  <c r="AK225" i="11"/>
  <c r="AK226" i="11"/>
  <c r="AK227" i="11"/>
  <c r="AK228" i="11"/>
  <c r="AK229" i="11"/>
  <c r="AK230" i="11"/>
  <c r="AK231" i="11"/>
  <c r="AK232" i="11"/>
  <c r="AK233" i="11"/>
  <c r="AK234" i="11"/>
  <c r="AK235" i="11"/>
  <c r="AK236" i="11"/>
  <c r="AK237" i="11"/>
  <c r="AK238" i="11"/>
  <c r="AK239" i="11"/>
  <c r="AK240" i="11"/>
  <c r="AK241" i="11"/>
  <c r="AK242" i="11"/>
  <c r="AK2" i="11"/>
  <c r="AI3" i="11"/>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S2" i="11"/>
  <c r="AH3" i="11"/>
  <c r="AH4" i="11"/>
  <c r="AH5" i="11"/>
  <c r="AH6" i="11"/>
  <c r="AH7" i="11"/>
  <c r="AH8" i="11"/>
  <c r="AH9" i="11"/>
  <c r="AH10" i="11"/>
  <c r="AH11" i="11"/>
  <c r="AH12" i="11"/>
  <c r="AH13" i="11"/>
  <c r="AH14" i="11"/>
  <c r="AH15" i="11"/>
  <c r="AH16" i="11"/>
  <c r="AH17" i="11"/>
  <c r="AH18" i="11"/>
  <c r="AH19" i="11"/>
  <c r="AH20" i="11"/>
  <c r="AH21" i="11"/>
  <c r="AH22" i="11"/>
  <c r="AH23" i="11"/>
  <c r="AH24" i="11"/>
  <c r="AH25" i="11"/>
  <c r="AH26" i="11"/>
  <c r="AH27" i="11"/>
  <c r="AH28" i="11"/>
  <c r="AH29" i="11"/>
  <c r="AH30" i="11"/>
  <c r="AH31" i="11"/>
  <c r="AH32" i="11"/>
  <c r="AH33" i="11"/>
  <c r="AH34" i="11"/>
  <c r="AH35" i="11"/>
  <c r="AH36" i="11"/>
  <c r="AH37" i="11"/>
  <c r="AH38" i="11"/>
  <c r="AH39" i="11"/>
  <c r="AH40" i="11"/>
  <c r="AH41" i="11"/>
  <c r="AH42" i="11"/>
  <c r="AH43" i="11"/>
  <c r="AH44" i="11"/>
  <c r="AH45" i="11"/>
  <c r="AH46" i="11"/>
  <c r="AH47" i="11"/>
  <c r="AH48" i="11"/>
  <c r="AH49" i="11"/>
  <c r="AH50" i="11"/>
  <c r="AH51" i="11"/>
  <c r="AH52" i="11"/>
  <c r="AH53" i="11"/>
  <c r="AH54" i="11"/>
  <c r="AH55" i="11"/>
  <c r="AH56" i="11"/>
  <c r="AH57" i="11"/>
  <c r="AH58" i="11"/>
  <c r="AH59" i="11"/>
  <c r="AH60" i="11"/>
  <c r="AH61" i="11"/>
  <c r="AH62" i="11"/>
  <c r="AH63" i="11"/>
  <c r="AH64" i="11"/>
  <c r="AH65" i="11"/>
  <c r="AH66" i="11"/>
  <c r="AH67" i="11"/>
  <c r="AH68" i="11"/>
  <c r="AH69" i="11"/>
  <c r="AH70" i="11"/>
  <c r="AH71" i="11"/>
  <c r="AH72" i="11"/>
  <c r="AH73" i="11"/>
  <c r="AH74" i="11"/>
  <c r="AH75" i="11"/>
  <c r="AH76" i="11"/>
  <c r="AH77" i="11"/>
  <c r="AH78" i="11"/>
  <c r="AH79" i="11"/>
  <c r="AH80" i="11"/>
  <c r="AH81" i="11"/>
  <c r="AH82" i="11"/>
  <c r="AH83" i="11"/>
  <c r="AH84" i="11"/>
  <c r="AH85" i="11"/>
  <c r="AH86" i="11"/>
  <c r="AH87" i="11"/>
  <c r="AH88" i="11"/>
  <c r="AH89" i="11"/>
  <c r="AH90" i="11"/>
  <c r="AH91" i="11"/>
  <c r="AH92" i="11"/>
  <c r="AH93" i="11"/>
  <c r="AH94" i="11"/>
  <c r="AH95" i="11"/>
  <c r="AH96" i="11"/>
  <c r="AH97" i="11"/>
  <c r="AH98" i="11"/>
  <c r="AH99" i="11"/>
  <c r="AH100" i="11"/>
  <c r="AH101" i="11"/>
  <c r="AH102" i="11"/>
  <c r="AH103" i="11"/>
  <c r="AH104" i="11"/>
  <c r="AH105" i="11"/>
  <c r="AH106" i="11"/>
  <c r="AH107" i="11"/>
  <c r="AH108" i="11"/>
  <c r="AH109" i="11"/>
  <c r="AH110" i="11"/>
  <c r="AH111" i="11"/>
  <c r="AH112" i="11"/>
  <c r="AH113" i="11"/>
  <c r="AH114" i="11"/>
  <c r="AH115" i="11"/>
  <c r="AH116" i="11"/>
  <c r="AH117" i="11"/>
  <c r="AH118" i="11"/>
  <c r="AH119" i="11"/>
  <c r="AH120" i="11"/>
  <c r="AH121" i="11"/>
  <c r="AH122" i="11"/>
  <c r="AH123" i="11"/>
  <c r="AH124" i="11"/>
  <c r="AH125" i="11"/>
  <c r="AH126" i="11"/>
  <c r="AH127" i="11"/>
  <c r="AH128" i="11"/>
  <c r="AH129" i="11"/>
  <c r="AH130" i="11"/>
  <c r="AH131" i="11"/>
  <c r="AH132" i="11"/>
  <c r="AH133" i="11"/>
  <c r="AH134" i="11"/>
  <c r="AH135" i="11"/>
  <c r="AH136" i="11"/>
  <c r="AH137" i="11"/>
  <c r="AH138" i="11"/>
  <c r="AH139" i="11"/>
  <c r="AH140" i="11"/>
  <c r="AH141" i="11"/>
  <c r="AH142" i="11"/>
  <c r="AH143" i="11"/>
  <c r="AH144" i="11"/>
  <c r="AH145" i="11"/>
  <c r="AH146" i="11"/>
  <c r="AH147" i="11"/>
  <c r="AH148" i="11"/>
  <c r="AH149" i="11"/>
  <c r="AH150" i="11"/>
  <c r="AH151" i="11"/>
  <c r="AH152" i="11"/>
  <c r="AH153" i="11"/>
  <c r="AH154" i="11"/>
  <c r="AH155" i="11"/>
  <c r="AH156" i="11"/>
  <c r="AH157" i="11"/>
  <c r="AH158" i="11"/>
  <c r="AH159" i="11"/>
  <c r="AH160" i="11"/>
  <c r="AH161" i="11"/>
  <c r="AH162" i="11"/>
  <c r="AH163" i="11"/>
  <c r="AH164" i="11"/>
  <c r="AH165" i="11"/>
  <c r="AH166" i="11"/>
  <c r="AH167" i="11"/>
  <c r="AH168" i="11"/>
  <c r="AH169" i="11"/>
  <c r="AH170" i="11"/>
  <c r="AH171" i="11"/>
  <c r="AH172" i="11"/>
  <c r="AH173" i="11"/>
  <c r="AH174" i="11"/>
  <c r="AH175" i="11"/>
  <c r="AH176" i="11"/>
  <c r="AH177" i="11"/>
  <c r="AH178" i="11"/>
  <c r="AH179" i="11"/>
  <c r="AH180" i="11"/>
  <c r="AH181" i="11"/>
  <c r="AH182" i="11"/>
  <c r="AH183" i="11"/>
  <c r="AH184" i="11"/>
  <c r="AH185" i="11"/>
  <c r="AH186" i="11"/>
  <c r="AH187" i="11"/>
  <c r="AH188" i="11"/>
  <c r="AH189" i="11"/>
  <c r="AH190" i="11"/>
  <c r="AH191" i="11"/>
  <c r="AH192" i="11"/>
  <c r="AH193" i="11"/>
  <c r="AH194" i="11"/>
  <c r="AH195" i="11"/>
  <c r="AH196" i="11"/>
  <c r="AH197" i="11"/>
  <c r="AH198" i="11"/>
  <c r="AH199" i="11"/>
  <c r="AH201" i="11"/>
  <c r="AH202" i="11"/>
  <c r="AH203" i="11"/>
  <c r="AH204" i="11"/>
  <c r="AH205" i="11"/>
  <c r="AH206" i="11"/>
  <c r="AH207" i="11"/>
  <c r="AH208" i="11"/>
  <c r="AH209" i="11"/>
  <c r="AH210" i="11"/>
  <c r="AH211" i="11"/>
  <c r="AH212" i="11"/>
  <c r="AH213" i="11"/>
  <c r="AH214" i="11"/>
  <c r="AH215" i="11"/>
  <c r="AH216" i="11"/>
  <c r="AH217" i="11"/>
  <c r="AH218" i="11"/>
  <c r="AH219" i="11"/>
  <c r="AH220" i="11"/>
  <c r="AH221" i="11"/>
  <c r="AH222" i="11"/>
  <c r="AH223" i="11"/>
  <c r="AH224" i="11"/>
  <c r="AH225" i="11"/>
  <c r="AH226" i="11"/>
  <c r="AH227" i="11"/>
  <c r="AH228" i="11"/>
  <c r="AH229" i="11"/>
  <c r="AH230" i="11"/>
  <c r="AH231" i="11"/>
  <c r="AH232" i="11"/>
  <c r="AH233" i="11"/>
  <c r="AH234" i="11"/>
  <c r="AH235" i="11"/>
  <c r="AH236" i="11"/>
  <c r="AH237" i="11"/>
  <c r="AH238" i="11"/>
  <c r="AH239" i="11"/>
  <c r="AH240" i="11"/>
  <c r="AH241" i="11"/>
  <c r="AH242" i="11"/>
  <c r="AH2" i="11"/>
  <c r="AG3" i="11"/>
  <c r="AG4" i="11"/>
  <c r="AG5" i="11"/>
  <c r="AG6" i="11"/>
  <c r="AG7" i="11"/>
  <c r="AG8" i="11"/>
  <c r="AG9" i="11"/>
  <c r="AG10" i="11"/>
  <c r="AG11" i="11"/>
  <c r="AG12" i="11"/>
  <c r="AG13" i="11"/>
  <c r="AG14" i="11"/>
  <c r="AG15" i="11"/>
  <c r="AG16" i="11"/>
  <c r="AG17" i="11"/>
  <c r="AG18" i="11"/>
  <c r="AG19" i="11"/>
  <c r="AG20" i="11"/>
  <c r="AG21" i="11"/>
  <c r="AG22" i="11"/>
  <c r="AG23" i="11"/>
  <c r="AG24" i="11"/>
  <c r="AG25" i="11"/>
  <c r="AG26" i="11"/>
  <c r="AG27" i="11"/>
  <c r="AG28" i="11"/>
  <c r="AG29" i="11"/>
  <c r="AG30" i="11"/>
  <c r="AG31" i="11"/>
  <c r="AG32" i="11"/>
  <c r="AG33" i="11"/>
  <c r="AG34" i="11"/>
  <c r="AG35" i="11"/>
  <c r="AG36" i="11"/>
  <c r="AG37" i="11"/>
  <c r="AG38" i="11"/>
  <c r="AG39" i="11"/>
  <c r="AG40" i="11"/>
  <c r="AG41" i="11"/>
  <c r="AG42" i="11"/>
  <c r="AG43" i="11"/>
  <c r="AG44" i="11"/>
  <c r="AG45" i="11"/>
  <c r="AG46" i="11"/>
  <c r="AG47" i="11"/>
  <c r="AG48" i="11"/>
  <c r="AG49" i="11"/>
  <c r="AG50" i="11"/>
  <c r="AG51" i="11"/>
  <c r="AG52" i="11"/>
  <c r="AG53" i="11"/>
  <c r="AG54" i="11"/>
  <c r="AG55" i="11"/>
  <c r="AG56" i="11"/>
  <c r="AG57" i="11"/>
  <c r="AG58" i="11"/>
  <c r="AG59" i="11"/>
  <c r="AG60" i="11"/>
  <c r="AG61" i="11"/>
  <c r="AG62" i="11"/>
  <c r="AG63" i="11"/>
  <c r="AG64" i="11"/>
  <c r="AG65" i="11"/>
  <c r="AG66" i="11"/>
  <c r="AG67" i="11"/>
  <c r="AG68" i="11"/>
  <c r="AG69" i="11"/>
  <c r="AG70" i="11"/>
  <c r="AG71" i="11"/>
  <c r="AG72" i="11"/>
  <c r="AG73" i="11"/>
  <c r="AG74" i="11"/>
  <c r="AG75" i="11"/>
  <c r="AG76" i="11"/>
  <c r="AG77" i="11"/>
  <c r="AG78" i="11"/>
  <c r="AG79" i="11"/>
  <c r="AG80" i="11"/>
  <c r="AG81" i="11"/>
  <c r="AG82" i="11"/>
  <c r="AG83" i="11"/>
  <c r="AG84" i="11"/>
  <c r="AG85" i="11"/>
  <c r="AG86" i="11"/>
  <c r="AG87" i="11"/>
  <c r="AG88" i="11"/>
  <c r="AG89" i="11"/>
  <c r="AG90" i="11"/>
  <c r="AG91" i="11"/>
  <c r="AG92" i="11"/>
  <c r="AG93" i="11"/>
  <c r="AG94" i="11"/>
  <c r="AG95" i="11"/>
  <c r="AG96" i="11"/>
  <c r="AG97" i="11"/>
  <c r="AG98" i="11"/>
  <c r="AG99" i="11"/>
  <c r="AG100" i="11"/>
  <c r="AG101" i="11"/>
  <c r="AG102" i="11"/>
  <c r="AG103" i="11"/>
  <c r="AG104" i="11"/>
  <c r="AG105" i="11"/>
  <c r="AG106" i="11"/>
  <c r="AG107" i="11"/>
  <c r="AG108" i="11"/>
  <c r="AG109" i="11"/>
  <c r="AG110" i="11"/>
  <c r="AG111" i="11"/>
  <c r="AG112" i="11"/>
  <c r="AG113" i="11"/>
  <c r="AG114" i="11"/>
  <c r="AG115" i="11"/>
  <c r="AG116" i="11"/>
  <c r="AG117" i="11"/>
  <c r="AG118" i="11"/>
  <c r="AG119" i="11"/>
  <c r="AG120" i="11"/>
  <c r="AG121" i="11"/>
  <c r="AG122" i="11"/>
  <c r="AG123" i="11"/>
  <c r="AG124" i="11"/>
  <c r="AG125" i="11"/>
  <c r="AG126" i="11"/>
  <c r="AG127" i="11"/>
  <c r="AG128" i="11"/>
  <c r="AG129" i="11"/>
  <c r="AG130" i="11"/>
  <c r="AG131" i="11"/>
  <c r="AG132" i="11"/>
  <c r="AG133" i="11"/>
  <c r="AG134" i="11"/>
  <c r="AG135" i="11"/>
  <c r="AG136" i="11"/>
  <c r="AG137" i="11"/>
  <c r="AG138" i="11"/>
  <c r="AG139" i="11"/>
  <c r="AG140" i="11"/>
  <c r="AG141" i="11"/>
  <c r="AG142" i="11"/>
  <c r="AG143" i="11"/>
  <c r="AG144" i="11"/>
  <c r="AG145" i="11"/>
  <c r="AG146" i="11"/>
  <c r="AG147" i="11"/>
  <c r="AG148" i="11"/>
  <c r="AG149" i="11"/>
  <c r="AG150" i="11"/>
  <c r="AG151" i="11"/>
  <c r="AG152" i="11"/>
  <c r="AG153" i="11"/>
  <c r="AG154" i="11"/>
  <c r="AG155" i="11"/>
  <c r="AG156" i="11"/>
  <c r="AG157" i="11"/>
  <c r="AG158" i="11"/>
  <c r="AG159" i="11"/>
  <c r="AG160" i="11"/>
  <c r="AG161" i="11"/>
  <c r="AG162" i="11"/>
  <c r="AG163" i="11"/>
  <c r="AG164" i="11"/>
  <c r="AG165" i="11"/>
  <c r="AG166" i="11"/>
  <c r="AG167" i="11"/>
  <c r="AG168" i="11"/>
  <c r="AG169" i="11"/>
  <c r="AG170" i="11"/>
  <c r="AG171" i="11"/>
  <c r="AG172" i="11"/>
  <c r="AG173" i="11"/>
  <c r="AG174" i="11"/>
  <c r="AG175" i="11"/>
  <c r="AG176" i="11"/>
  <c r="AG177" i="11"/>
  <c r="AG178" i="11"/>
  <c r="AG179" i="11"/>
  <c r="AG180" i="11"/>
  <c r="AG181" i="11"/>
  <c r="AG182" i="11"/>
  <c r="AG183" i="11"/>
  <c r="AG184" i="11"/>
  <c r="AG185" i="11"/>
  <c r="AG186" i="11"/>
  <c r="AG187" i="11"/>
  <c r="AG188" i="11"/>
  <c r="AG189" i="11"/>
  <c r="AG190" i="11"/>
  <c r="AG191" i="11"/>
  <c r="AG192" i="11"/>
  <c r="AG193" i="11"/>
  <c r="AG194" i="11"/>
  <c r="AG195" i="11"/>
  <c r="AG196" i="11"/>
  <c r="AG197" i="11"/>
  <c r="AG198" i="11"/>
  <c r="AG199" i="11"/>
  <c r="AG201" i="11"/>
  <c r="AG202" i="11"/>
  <c r="AG203" i="11"/>
  <c r="AG204" i="11"/>
  <c r="AG205" i="11"/>
  <c r="AG206" i="11"/>
  <c r="AG207" i="11"/>
  <c r="AG208" i="11"/>
  <c r="AG209" i="11"/>
  <c r="AG210" i="11"/>
  <c r="AG211" i="11"/>
  <c r="AG212" i="11"/>
  <c r="AG213" i="11"/>
  <c r="AG214" i="11"/>
  <c r="AG215" i="11"/>
  <c r="AG216" i="11"/>
  <c r="AG217" i="11"/>
  <c r="AG218" i="11"/>
  <c r="AG219" i="11"/>
  <c r="AG220" i="11"/>
  <c r="AG221" i="11"/>
  <c r="AG222" i="11"/>
  <c r="AG223" i="11"/>
  <c r="AG224" i="11"/>
  <c r="AG225" i="11"/>
  <c r="AG226" i="11"/>
  <c r="AG227" i="11"/>
  <c r="AG228" i="11"/>
  <c r="AG229" i="11"/>
  <c r="AG230" i="11"/>
  <c r="AG231" i="11"/>
  <c r="AG232" i="11"/>
  <c r="AG233" i="11"/>
  <c r="AG234" i="11"/>
  <c r="AG235" i="11"/>
  <c r="AG236" i="11"/>
  <c r="AG237" i="11"/>
  <c r="AG238" i="11"/>
  <c r="AG239" i="11"/>
  <c r="AG240" i="11"/>
  <c r="AG241" i="11"/>
  <c r="AG242" i="11"/>
  <c r="AG2" i="11"/>
  <c r="AF3" i="11"/>
  <c r="AF4" i="11"/>
  <c r="AF5" i="11"/>
  <c r="AF6" i="11"/>
  <c r="AF7" i="11"/>
  <c r="AF8" i="11"/>
  <c r="AF9" i="11"/>
  <c r="AF10" i="11"/>
  <c r="AF11" i="11"/>
  <c r="AF12" i="11"/>
  <c r="AF13" i="11"/>
  <c r="AF14" i="11"/>
  <c r="AF15" i="11"/>
  <c r="AF16" i="11"/>
  <c r="AF17" i="11"/>
  <c r="AF18" i="11"/>
  <c r="AF19" i="11"/>
  <c r="AF20" i="11"/>
  <c r="AF21" i="11"/>
  <c r="AF22" i="11"/>
  <c r="AF23" i="11"/>
  <c r="AF24" i="11"/>
  <c r="AF25" i="11"/>
  <c r="AF26" i="11"/>
  <c r="AF27" i="11"/>
  <c r="AF28" i="11"/>
  <c r="AF29" i="11"/>
  <c r="AF30" i="11"/>
  <c r="AF31" i="11"/>
  <c r="AF32" i="11"/>
  <c r="AF33" i="11"/>
  <c r="AF34" i="11"/>
  <c r="AF35" i="11"/>
  <c r="AF36" i="11"/>
  <c r="AF37" i="11"/>
  <c r="AF38" i="11"/>
  <c r="AF39" i="11"/>
  <c r="AF40" i="11"/>
  <c r="AF41" i="11"/>
  <c r="AF42" i="11"/>
  <c r="AF43" i="11"/>
  <c r="AF44" i="11"/>
  <c r="AF45" i="11"/>
  <c r="AF46" i="11"/>
  <c r="AF47" i="11"/>
  <c r="AF48" i="11"/>
  <c r="AF49" i="11"/>
  <c r="AF50" i="11"/>
  <c r="AF51" i="11"/>
  <c r="AF52" i="11"/>
  <c r="AF53" i="11"/>
  <c r="AF54" i="11"/>
  <c r="AF55" i="11"/>
  <c r="AF56" i="11"/>
  <c r="AF57" i="11"/>
  <c r="AF58" i="11"/>
  <c r="AF59" i="11"/>
  <c r="AF60" i="11"/>
  <c r="AF61" i="11"/>
  <c r="AF62" i="11"/>
  <c r="AF63" i="11"/>
  <c r="AF64" i="11"/>
  <c r="AF65" i="11"/>
  <c r="AF66" i="11"/>
  <c r="AF67" i="11"/>
  <c r="AF68" i="11"/>
  <c r="AF69" i="11"/>
  <c r="AF70" i="11"/>
  <c r="AF71" i="11"/>
  <c r="AF72" i="11"/>
  <c r="AF73" i="11"/>
  <c r="AF74" i="11"/>
  <c r="AF75" i="11"/>
  <c r="AF76" i="11"/>
  <c r="AF77" i="11"/>
  <c r="AF78" i="11"/>
  <c r="AF79" i="11"/>
  <c r="AF80" i="11"/>
  <c r="AF81" i="11"/>
  <c r="AF82" i="11"/>
  <c r="AF83" i="11"/>
  <c r="AF84" i="11"/>
  <c r="AF85" i="11"/>
  <c r="AF86" i="11"/>
  <c r="AF87" i="11"/>
  <c r="AF88" i="11"/>
  <c r="AF89" i="11"/>
  <c r="AF90" i="11"/>
  <c r="AF91" i="11"/>
  <c r="AF92" i="11"/>
  <c r="AF93" i="11"/>
  <c r="AF94" i="11"/>
  <c r="AF95" i="11"/>
  <c r="AF96" i="11"/>
  <c r="AF97" i="11"/>
  <c r="AF98" i="11"/>
  <c r="AF99" i="11"/>
  <c r="AF100" i="11"/>
  <c r="AF101" i="11"/>
  <c r="AF102" i="11"/>
  <c r="AF103" i="11"/>
  <c r="AF104" i="11"/>
  <c r="AF105" i="11"/>
  <c r="AF106" i="11"/>
  <c r="AF107" i="11"/>
  <c r="AF108" i="11"/>
  <c r="AF109" i="11"/>
  <c r="AF110" i="11"/>
  <c r="AF111" i="11"/>
  <c r="AF112" i="11"/>
  <c r="AF113" i="11"/>
  <c r="AF114" i="11"/>
  <c r="AF115" i="11"/>
  <c r="AF116" i="11"/>
  <c r="AF117" i="11"/>
  <c r="AF118" i="11"/>
  <c r="AF119" i="11"/>
  <c r="AF120" i="11"/>
  <c r="AF121" i="11"/>
  <c r="AF122" i="11"/>
  <c r="AF123" i="11"/>
  <c r="AF124" i="11"/>
  <c r="AF125" i="11"/>
  <c r="AF126" i="11"/>
  <c r="AF127" i="11"/>
  <c r="AF128" i="11"/>
  <c r="AF129" i="11"/>
  <c r="AF130" i="11"/>
  <c r="AF131" i="11"/>
  <c r="AF132" i="11"/>
  <c r="AF133" i="11"/>
  <c r="AF134" i="11"/>
  <c r="AF135" i="11"/>
  <c r="AF136" i="11"/>
  <c r="AF137" i="11"/>
  <c r="AF138" i="11"/>
  <c r="AF139" i="11"/>
  <c r="AF140" i="11"/>
  <c r="AF141" i="11"/>
  <c r="AF142" i="11"/>
  <c r="AF143" i="11"/>
  <c r="AF144" i="11"/>
  <c r="AF145" i="11"/>
  <c r="AF146" i="11"/>
  <c r="AF147" i="11"/>
  <c r="AF148" i="11"/>
  <c r="AF149" i="11"/>
  <c r="AF150" i="11"/>
  <c r="AF151" i="11"/>
  <c r="AF152" i="11"/>
  <c r="AF153" i="11"/>
  <c r="AF154" i="11"/>
  <c r="AF155" i="11"/>
  <c r="AF156" i="11"/>
  <c r="AF157" i="11"/>
  <c r="AF158" i="11"/>
  <c r="AF159" i="11"/>
  <c r="AF160" i="11"/>
  <c r="AF161" i="11"/>
  <c r="AF162" i="11"/>
  <c r="AF163" i="11"/>
  <c r="AF164" i="11"/>
  <c r="AF165" i="11"/>
  <c r="AF166" i="11"/>
  <c r="AF167" i="11"/>
  <c r="AF168" i="11"/>
  <c r="AF169" i="11"/>
  <c r="AF170" i="11"/>
  <c r="AF171" i="11"/>
  <c r="AF172" i="11"/>
  <c r="AF173" i="11"/>
  <c r="AF174" i="11"/>
  <c r="AF175" i="11"/>
  <c r="AF176" i="11"/>
  <c r="AF177" i="11"/>
  <c r="AF178" i="11"/>
  <c r="AF179" i="11"/>
  <c r="AF180" i="11"/>
  <c r="AF181" i="11"/>
  <c r="AF182" i="11"/>
  <c r="AF183" i="11"/>
  <c r="AF184" i="11"/>
  <c r="AF185" i="11"/>
  <c r="AF186" i="11"/>
  <c r="AF187" i="11"/>
  <c r="AF188" i="11"/>
  <c r="AF189" i="11"/>
  <c r="AF190" i="11"/>
  <c r="AF191" i="11"/>
  <c r="AF192" i="11"/>
  <c r="AF193" i="11"/>
  <c r="AF194" i="11"/>
  <c r="AF195" i="11"/>
  <c r="AF196" i="11"/>
  <c r="AF197" i="11"/>
  <c r="AF198" i="11"/>
  <c r="AF199" i="11"/>
  <c r="AF201" i="11"/>
  <c r="AF202" i="11"/>
  <c r="AF203" i="11"/>
  <c r="AF204" i="11"/>
  <c r="AF205" i="11"/>
  <c r="AF206" i="11"/>
  <c r="AF207" i="11"/>
  <c r="AF208" i="11"/>
  <c r="AF209" i="11"/>
  <c r="AF210" i="11"/>
  <c r="AF211" i="11"/>
  <c r="AF212" i="11"/>
  <c r="AF213" i="11"/>
  <c r="AF214" i="11"/>
  <c r="AF215" i="11"/>
  <c r="AF216" i="11"/>
  <c r="AF217" i="11"/>
  <c r="AF218" i="11"/>
  <c r="AF219" i="11"/>
  <c r="AF220" i="11"/>
  <c r="AF221" i="11"/>
  <c r="AF222" i="11"/>
  <c r="AF223" i="11"/>
  <c r="AF224" i="11"/>
  <c r="AF225" i="11"/>
  <c r="AF226" i="11"/>
  <c r="AF227" i="11"/>
  <c r="AF228" i="11"/>
  <c r="AF229" i="11"/>
  <c r="AF230" i="11"/>
  <c r="AF231" i="11"/>
  <c r="AF232" i="11"/>
  <c r="AF233" i="11"/>
  <c r="AF234" i="11"/>
  <c r="AF235" i="11"/>
  <c r="AF236" i="11"/>
  <c r="AF237" i="11"/>
  <c r="AF238" i="11"/>
  <c r="AF239" i="11"/>
  <c r="AF240" i="11"/>
  <c r="AF241" i="11"/>
  <c r="AF242" i="11"/>
  <c r="AF2" i="11"/>
  <c r="AE3" i="11"/>
  <c r="AE4" i="11"/>
  <c r="AE5" i="11"/>
  <c r="AE6" i="11"/>
  <c r="AE7" i="11"/>
  <c r="AE8" i="11"/>
  <c r="AE9" i="11"/>
  <c r="AE10" i="11"/>
  <c r="AE11" i="11"/>
  <c r="AE12" i="11"/>
  <c r="AE13" i="11"/>
  <c r="AE14" i="11"/>
  <c r="AE15" i="11"/>
  <c r="AE16" i="11"/>
  <c r="AE17" i="11"/>
  <c r="AE18" i="11"/>
  <c r="AE19" i="11"/>
  <c r="AE20" i="11"/>
  <c r="AE21" i="11"/>
  <c r="AE22" i="11"/>
  <c r="AE23" i="11"/>
  <c r="AE24" i="11"/>
  <c r="AE25" i="11"/>
  <c r="AE26" i="11"/>
  <c r="AE27" i="11"/>
  <c r="AE28" i="11"/>
  <c r="AE29" i="11"/>
  <c r="AE30" i="11"/>
  <c r="AE31" i="11"/>
  <c r="AE32" i="11"/>
  <c r="AE33" i="11"/>
  <c r="AE34" i="11"/>
  <c r="AE35" i="11"/>
  <c r="AE36" i="11"/>
  <c r="AE37" i="11"/>
  <c r="AE38" i="11"/>
  <c r="AE39" i="11"/>
  <c r="AE40" i="11"/>
  <c r="AE41" i="11"/>
  <c r="AE42" i="11"/>
  <c r="AE43" i="11"/>
  <c r="AE44" i="11"/>
  <c r="AE45" i="11"/>
  <c r="AE46" i="11"/>
  <c r="AE47" i="11"/>
  <c r="AE48" i="11"/>
  <c r="AE49" i="11"/>
  <c r="AE50" i="11"/>
  <c r="AE51" i="11"/>
  <c r="AE52" i="11"/>
  <c r="AE53" i="11"/>
  <c r="AE54" i="11"/>
  <c r="AE55" i="11"/>
  <c r="AE56" i="11"/>
  <c r="AE57" i="11"/>
  <c r="AE58" i="11"/>
  <c r="AE59" i="11"/>
  <c r="AE60" i="11"/>
  <c r="AE61" i="11"/>
  <c r="AE62" i="11"/>
  <c r="AE63" i="11"/>
  <c r="AE64" i="11"/>
  <c r="AE65" i="11"/>
  <c r="AE66" i="11"/>
  <c r="AE67" i="11"/>
  <c r="AE68" i="11"/>
  <c r="AE69" i="11"/>
  <c r="AE70" i="11"/>
  <c r="AE71" i="11"/>
  <c r="AE72" i="11"/>
  <c r="AE73" i="11"/>
  <c r="AE74" i="11"/>
  <c r="AE75" i="11"/>
  <c r="AE76" i="11"/>
  <c r="AE77" i="11"/>
  <c r="AE78" i="11"/>
  <c r="AE79" i="11"/>
  <c r="AE80" i="11"/>
  <c r="AE81" i="11"/>
  <c r="AE82" i="11"/>
  <c r="AE83" i="11"/>
  <c r="AE84" i="11"/>
  <c r="AE85" i="11"/>
  <c r="AE86" i="11"/>
  <c r="AE87" i="11"/>
  <c r="AE88" i="11"/>
  <c r="AE89" i="11"/>
  <c r="AE90" i="11"/>
  <c r="AE91" i="11"/>
  <c r="AE92" i="11"/>
  <c r="AE93" i="11"/>
  <c r="AE94" i="11"/>
  <c r="AE95" i="11"/>
  <c r="AE96" i="11"/>
  <c r="AE97" i="11"/>
  <c r="AE98" i="11"/>
  <c r="AE99" i="11"/>
  <c r="AE100" i="11"/>
  <c r="AE101" i="11"/>
  <c r="AE102" i="11"/>
  <c r="AE103" i="11"/>
  <c r="AE104" i="11"/>
  <c r="AE105" i="11"/>
  <c r="AE106" i="11"/>
  <c r="AE107" i="11"/>
  <c r="AE108" i="11"/>
  <c r="AE109" i="11"/>
  <c r="AE110" i="11"/>
  <c r="AE111" i="11"/>
  <c r="AE112" i="11"/>
  <c r="AE113" i="11"/>
  <c r="AE114" i="11"/>
  <c r="AE115" i="11"/>
  <c r="AE116" i="11"/>
  <c r="AE117" i="11"/>
  <c r="AE118" i="11"/>
  <c r="AE119" i="11"/>
  <c r="AE120" i="11"/>
  <c r="AE121" i="11"/>
  <c r="AE122" i="11"/>
  <c r="AE123" i="11"/>
  <c r="AE124" i="11"/>
  <c r="AE125" i="11"/>
  <c r="AE126" i="11"/>
  <c r="AE127" i="11"/>
  <c r="AE128" i="11"/>
  <c r="AE129" i="11"/>
  <c r="AE130" i="11"/>
  <c r="AE131" i="11"/>
  <c r="AE132" i="11"/>
  <c r="AE133" i="11"/>
  <c r="AE134" i="11"/>
  <c r="AE135" i="11"/>
  <c r="AE136" i="11"/>
  <c r="AE137" i="11"/>
  <c r="AE138" i="11"/>
  <c r="AE139" i="11"/>
  <c r="AE140" i="11"/>
  <c r="AE141" i="11"/>
  <c r="AE142" i="11"/>
  <c r="AE143" i="11"/>
  <c r="AE144" i="11"/>
  <c r="AE145" i="11"/>
  <c r="AE146" i="11"/>
  <c r="AE147" i="11"/>
  <c r="AE148" i="11"/>
  <c r="AE149" i="11"/>
  <c r="AE150" i="11"/>
  <c r="AE151" i="11"/>
  <c r="AE152" i="11"/>
  <c r="AE153" i="11"/>
  <c r="AE154" i="11"/>
  <c r="AE155" i="11"/>
  <c r="AE156" i="11"/>
  <c r="AE157" i="11"/>
  <c r="AE158" i="11"/>
  <c r="AE159" i="11"/>
  <c r="AE160" i="11"/>
  <c r="AE161" i="11"/>
  <c r="AE162" i="11"/>
  <c r="AE163" i="11"/>
  <c r="AE164" i="11"/>
  <c r="AE165" i="11"/>
  <c r="AE166" i="11"/>
  <c r="AE167" i="11"/>
  <c r="AE168" i="11"/>
  <c r="AE169" i="11"/>
  <c r="AE170" i="11"/>
  <c r="AE171" i="11"/>
  <c r="AE172" i="11"/>
  <c r="AE173" i="11"/>
  <c r="AE174" i="11"/>
  <c r="AE175" i="11"/>
  <c r="AE176" i="11"/>
  <c r="AE177" i="11"/>
  <c r="AE178" i="11"/>
  <c r="AE179" i="11"/>
  <c r="AE180" i="11"/>
  <c r="AE181" i="11"/>
  <c r="AE182" i="11"/>
  <c r="AE183" i="11"/>
  <c r="AE184" i="11"/>
  <c r="AE185" i="11"/>
  <c r="AE186" i="11"/>
  <c r="AE187" i="11"/>
  <c r="AE188" i="11"/>
  <c r="AE189" i="11"/>
  <c r="AE190" i="11"/>
  <c r="AE191" i="11"/>
  <c r="AE192" i="11"/>
  <c r="AE193" i="11"/>
  <c r="AE194" i="11"/>
  <c r="AE195" i="11"/>
  <c r="AE196" i="11"/>
  <c r="AE197" i="11"/>
  <c r="AE198" i="11"/>
  <c r="AE199" i="11"/>
  <c r="AE201" i="11"/>
  <c r="AE202" i="11"/>
  <c r="AE203" i="11"/>
  <c r="AE204" i="11"/>
  <c r="AE205" i="11"/>
  <c r="AE206" i="11"/>
  <c r="AE207" i="11"/>
  <c r="AE208" i="11"/>
  <c r="AE209" i="11"/>
  <c r="AE210" i="11"/>
  <c r="AE211" i="11"/>
  <c r="AE212" i="11"/>
  <c r="AE213" i="11"/>
  <c r="AE214" i="11"/>
  <c r="AE215" i="11"/>
  <c r="AE216" i="11"/>
  <c r="AE217" i="11"/>
  <c r="AE218" i="11"/>
  <c r="AE219" i="11"/>
  <c r="AE220" i="11"/>
  <c r="AE221" i="11"/>
  <c r="AE222" i="11"/>
  <c r="AE223" i="11"/>
  <c r="AE224" i="11"/>
  <c r="AE225" i="11"/>
  <c r="AE226" i="11"/>
  <c r="AE227" i="11"/>
  <c r="AE228" i="11"/>
  <c r="AE229" i="11"/>
  <c r="AE230" i="11"/>
  <c r="AE231" i="11"/>
  <c r="AE232" i="11"/>
  <c r="AE233" i="11"/>
  <c r="AE234" i="11"/>
  <c r="AE235" i="11"/>
  <c r="AE236" i="11"/>
  <c r="AE237" i="11"/>
  <c r="AE238" i="11"/>
  <c r="AE239" i="11"/>
  <c r="AE240" i="11"/>
  <c r="AE241" i="11"/>
  <c r="AE242" i="11"/>
  <c r="AE2" i="11"/>
  <c r="AD3" i="11"/>
  <c r="AD4" i="11"/>
  <c r="AD5" i="11"/>
  <c r="AD6" i="11"/>
  <c r="AD7" i="11"/>
  <c r="AD8" i="11"/>
  <c r="AD9" i="11"/>
  <c r="AD10" i="11"/>
  <c r="AD11" i="11"/>
  <c r="AD12" i="11"/>
  <c r="AD13" i="11"/>
  <c r="AD14" i="11"/>
  <c r="AD15" i="11"/>
  <c r="AD16" i="11"/>
  <c r="AD17" i="11"/>
  <c r="AD18" i="11"/>
  <c r="AD19" i="11"/>
  <c r="AD20" i="11"/>
  <c r="AD21" i="11"/>
  <c r="AD22" i="11"/>
  <c r="AD23" i="11"/>
  <c r="AD24" i="11"/>
  <c r="AD25" i="11"/>
  <c r="AD26" i="11"/>
  <c r="AD27" i="11"/>
  <c r="AD28" i="11"/>
  <c r="AD29" i="11"/>
  <c r="AD30" i="11"/>
  <c r="AD31" i="11"/>
  <c r="AD32" i="11"/>
  <c r="AD33" i="11"/>
  <c r="AD34" i="11"/>
  <c r="AD35" i="11"/>
  <c r="AD36" i="11"/>
  <c r="AD37" i="11"/>
  <c r="AD38" i="11"/>
  <c r="AD39" i="11"/>
  <c r="AD40" i="11"/>
  <c r="AD41" i="11"/>
  <c r="AD42" i="11"/>
  <c r="AD43" i="11"/>
  <c r="AD44" i="11"/>
  <c r="AD45" i="11"/>
  <c r="AD46" i="11"/>
  <c r="AD47" i="11"/>
  <c r="AD48" i="11"/>
  <c r="AD49" i="11"/>
  <c r="AD50" i="11"/>
  <c r="AD51" i="11"/>
  <c r="AD52" i="11"/>
  <c r="AD53" i="11"/>
  <c r="AD54" i="11"/>
  <c r="AD55" i="11"/>
  <c r="AD56" i="11"/>
  <c r="AD57" i="11"/>
  <c r="AD58" i="11"/>
  <c r="AD59" i="11"/>
  <c r="AD60" i="11"/>
  <c r="AD61" i="11"/>
  <c r="AD62" i="11"/>
  <c r="AD63" i="11"/>
  <c r="AD64" i="11"/>
  <c r="AD65" i="11"/>
  <c r="AD66" i="11"/>
  <c r="AD67" i="11"/>
  <c r="AD68" i="11"/>
  <c r="AD69" i="11"/>
  <c r="AD70" i="11"/>
  <c r="AD71" i="11"/>
  <c r="AD72" i="11"/>
  <c r="AD73" i="11"/>
  <c r="AD74" i="11"/>
  <c r="AD75" i="11"/>
  <c r="AD76" i="11"/>
  <c r="AD77" i="11"/>
  <c r="AD78" i="11"/>
  <c r="AD79" i="11"/>
  <c r="AD80" i="11"/>
  <c r="AD81" i="11"/>
  <c r="AD82" i="11"/>
  <c r="AD83" i="11"/>
  <c r="AD84" i="11"/>
  <c r="AD85" i="11"/>
  <c r="AD86" i="11"/>
  <c r="AD87" i="11"/>
  <c r="AD88" i="11"/>
  <c r="AD89" i="11"/>
  <c r="AD90" i="11"/>
  <c r="AD91" i="11"/>
  <c r="AD92" i="11"/>
  <c r="AD93" i="11"/>
  <c r="AD94" i="11"/>
  <c r="AD95" i="11"/>
  <c r="AD96" i="11"/>
  <c r="AD97" i="11"/>
  <c r="AD98" i="11"/>
  <c r="AD99" i="11"/>
  <c r="AD100" i="11"/>
  <c r="AD101" i="11"/>
  <c r="AD102" i="11"/>
  <c r="AD103" i="11"/>
  <c r="AD104" i="11"/>
  <c r="AD105" i="11"/>
  <c r="AD106" i="11"/>
  <c r="AD107" i="11"/>
  <c r="AD108" i="11"/>
  <c r="AD109" i="11"/>
  <c r="AD110" i="11"/>
  <c r="AD111" i="11"/>
  <c r="AD112" i="11"/>
  <c r="AD113" i="11"/>
  <c r="AD114" i="11"/>
  <c r="AD115" i="11"/>
  <c r="AD116" i="11"/>
  <c r="AD117" i="11"/>
  <c r="AD118" i="11"/>
  <c r="AD119" i="11"/>
  <c r="AD120" i="11"/>
  <c r="AD121" i="11"/>
  <c r="AD122" i="11"/>
  <c r="AD123" i="11"/>
  <c r="AD124" i="11"/>
  <c r="AD125" i="11"/>
  <c r="AD126" i="11"/>
  <c r="AD127" i="11"/>
  <c r="AD128" i="11"/>
  <c r="AD129" i="11"/>
  <c r="AD130" i="11"/>
  <c r="AD131" i="11"/>
  <c r="AD132" i="11"/>
  <c r="AD133" i="11"/>
  <c r="AD134" i="11"/>
  <c r="AD135" i="11"/>
  <c r="AD136" i="11"/>
  <c r="AD137" i="11"/>
  <c r="AD138" i="11"/>
  <c r="AD139" i="11"/>
  <c r="AD140" i="11"/>
  <c r="AD141" i="11"/>
  <c r="AD142" i="11"/>
  <c r="AD143" i="11"/>
  <c r="AD144" i="11"/>
  <c r="AD145" i="11"/>
  <c r="AD146" i="11"/>
  <c r="AD147" i="11"/>
  <c r="AD148" i="11"/>
  <c r="AD149" i="11"/>
  <c r="AD150" i="11"/>
  <c r="AD151" i="11"/>
  <c r="AD152" i="11"/>
  <c r="AD153" i="11"/>
  <c r="AD154" i="11"/>
  <c r="AD155" i="11"/>
  <c r="AD156" i="11"/>
  <c r="AD157" i="11"/>
  <c r="AD158" i="11"/>
  <c r="AD159" i="11"/>
  <c r="AD160" i="11"/>
  <c r="AD161" i="11"/>
  <c r="AD162" i="11"/>
  <c r="AD163" i="11"/>
  <c r="AD164" i="11"/>
  <c r="AD165" i="11"/>
  <c r="AD166" i="11"/>
  <c r="AD167" i="11"/>
  <c r="AD168" i="11"/>
  <c r="AD169" i="11"/>
  <c r="AD170" i="11"/>
  <c r="AD171" i="11"/>
  <c r="AD172" i="11"/>
  <c r="AD173" i="11"/>
  <c r="AD174" i="11"/>
  <c r="AD175" i="11"/>
  <c r="AD176" i="11"/>
  <c r="AD177" i="11"/>
  <c r="AD178" i="11"/>
  <c r="AD179" i="11"/>
  <c r="AD180" i="11"/>
  <c r="AD181" i="11"/>
  <c r="AD182" i="11"/>
  <c r="AD183" i="11"/>
  <c r="AD184" i="11"/>
  <c r="AD185" i="11"/>
  <c r="AD186" i="11"/>
  <c r="AD187" i="11"/>
  <c r="AD188" i="11"/>
  <c r="AD189" i="11"/>
  <c r="AD190" i="11"/>
  <c r="AD191" i="11"/>
  <c r="AD192" i="11"/>
  <c r="AD193" i="11"/>
  <c r="AD194" i="11"/>
  <c r="AD195" i="11"/>
  <c r="AD196" i="11"/>
  <c r="AD197" i="11"/>
  <c r="AD198" i="11"/>
  <c r="AD199" i="11"/>
  <c r="AD201" i="11"/>
  <c r="AD202" i="11"/>
  <c r="AD203" i="11"/>
  <c r="AD204" i="11"/>
  <c r="AD205" i="11"/>
  <c r="AD206" i="11"/>
  <c r="AD207" i="11"/>
  <c r="AD208" i="11"/>
  <c r="AD209" i="11"/>
  <c r="AD210" i="11"/>
  <c r="AD211" i="11"/>
  <c r="AD212" i="11"/>
  <c r="AD213" i="11"/>
  <c r="AD214" i="11"/>
  <c r="AD215" i="11"/>
  <c r="AD216" i="11"/>
  <c r="AD217" i="11"/>
  <c r="AD218" i="11"/>
  <c r="AD219" i="11"/>
  <c r="AD220" i="11"/>
  <c r="AD221" i="11"/>
  <c r="AD222" i="11"/>
  <c r="AD223" i="11"/>
  <c r="AD224" i="11"/>
  <c r="AD225" i="11"/>
  <c r="AD226" i="11"/>
  <c r="AD227" i="11"/>
  <c r="AD228" i="11"/>
  <c r="AD229" i="11"/>
  <c r="AD230" i="11"/>
  <c r="AD231" i="11"/>
  <c r="AD232" i="11"/>
  <c r="AD233" i="11"/>
  <c r="AD234" i="11"/>
  <c r="AD235" i="11"/>
  <c r="AD236" i="11"/>
  <c r="AD237" i="11"/>
  <c r="AD238" i="11"/>
  <c r="AD239" i="11"/>
  <c r="AD240" i="11"/>
  <c r="AD241" i="11"/>
  <c r="AD242" i="11"/>
  <c r="AD2" i="11"/>
  <c r="AC3" i="11"/>
  <c r="AC4" i="11"/>
  <c r="AC5" i="11"/>
  <c r="AC6" i="11"/>
  <c r="AC7" i="11"/>
  <c r="AC8" i="11"/>
  <c r="AC9" i="11"/>
  <c r="AC10" i="11"/>
  <c r="AC11" i="11"/>
  <c r="AC12" i="11"/>
  <c r="AC13" i="11"/>
  <c r="AC14" i="11"/>
  <c r="AC15" i="11"/>
  <c r="AC16" i="11"/>
  <c r="AC17" i="11"/>
  <c r="AC18" i="11"/>
  <c r="AC19" i="11"/>
  <c r="AC20" i="11"/>
  <c r="AC21" i="11"/>
  <c r="AC22" i="11"/>
  <c r="AC23" i="11"/>
  <c r="AC24" i="11"/>
  <c r="AC25" i="11"/>
  <c r="AC26" i="11"/>
  <c r="AC27" i="11"/>
  <c r="AC28" i="11"/>
  <c r="AC29" i="11"/>
  <c r="AC30" i="11"/>
  <c r="AC31" i="11"/>
  <c r="AC32" i="11"/>
  <c r="AC33" i="11"/>
  <c r="AC34" i="11"/>
  <c r="AC35" i="11"/>
  <c r="AC36" i="11"/>
  <c r="AC37" i="11"/>
  <c r="AC38" i="11"/>
  <c r="AC39" i="11"/>
  <c r="AC40" i="11"/>
  <c r="AC41" i="11"/>
  <c r="AC42" i="11"/>
  <c r="AC43" i="11"/>
  <c r="AC44" i="11"/>
  <c r="AC45" i="11"/>
  <c r="AC46" i="11"/>
  <c r="AC47" i="11"/>
  <c r="AC48" i="11"/>
  <c r="AC49" i="11"/>
  <c r="AC50" i="11"/>
  <c r="AC51" i="11"/>
  <c r="AC52" i="11"/>
  <c r="AC53" i="11"/>
  <c r="AC54" i="11"/>
  <c r="AC55" i="11"/>
  <c r="AC56" i="11"/>
  <c r="AC57" i="11"/>
  <c r="AC58" i="11"/>
  <c r="AC59" i="11"/>
  <c r="AC60" i="11"/>
  <c r="AC61" i="11"/>
  <c r="AC62" i="11"/>
  <c r="AC63" i="11"/>
  <c r="AC64" i="11"/>
  <c r="AC65" i="11"/>
  <c r="AC66" i="11"/>
  <c r="AC67" i="11"/>
  <c r="AC68" i="11"/>
  <c r="AC69" i="11"/>
  <c r="AC70" i="11"/>
  <c r="AC71" i="11"/>
  <c r="AC72" i="11"/>
  <c r="AC73" i="11"/>
  <c r="AC74" i="11"/>
  <c r="AC75" i="11"/>
  <c r="AC76" i="11"/>
  <c r="AC77" i="11"/>
  <c r="AC78" i="11"/>
  <c r="AC79" i="11"/>
  <c r="AC80" i="11"/>
  <c r="AC81" i="11"/>
  <c r="AC82" i="11"/>
  <c r="AC83" i="11"/>
  <c r="AC84" i="11"/>
  <c r="AC85" i="11"/>
  <c r="AC86" i="11"/>
  <c r="AC87" i="11"/>
  <c r="AC88" i="11"/>
  <c r="AC89" i="11"/>
  <c r="AC90" i="11"/>
  <c r="AC91" i="11"/>
  <c r="AC92" i="11"/>
  <c r="AC93" i="11"/>
  <c r="AC94" i="11"/>
  <c r="AC95" i="11"/>
  <c r="AC96" i="11"/>
  <c r="AC97" i="11"/>
  <c r="AC98" i="11"/>
  <c r="AC99" i="11"/>
  <c r="AC100" i="11"/>
  <c r="AC101" i="11"/>
  <c r="AC102" i="11"/>
  <c r="AC103" i="11"/>
  <c r="AC104" i="11"/>
  <c r="AC105" i="11"/>
  <c r="AC106" i="11"/>
  <c r="AC107" i="11"/>
  <c r="AC108" i="11"/>
  <c r="AC109" i="11"/>
  <c r="AC110" i="11"/>
  <c r="AC111" i="11"/>
  <c r="AC112" i="11"/>
  <c r="AC113" i="11"/>
  <c r="AC114" i="11"/>
  <c r="AC115" i="11"/>
  <c r="AC116" i="11"/>
  <c r="AC117" i="11"/>
  <c r="AC118" i="11"/>
  <c r="AC119" i="11"/>
  <c r="AC120" i="11"/>
  <c r="AC121" i="11"/>
  <c r="AC122" i="11"/>
  <c r="AC123" i="11"/>
  <c r="AC124" i="11"/>
  <c r="AC125" i="11"/>
  <c r="AC126" i="11"/>
  <c r="AC127" i="11"/>
  <c r="AC128" i="11"/>
  <c r="AC129" i="11"/>
  <c r="AC130" i="11"/>
  <c r="AC131" i="11"/>
  <c r="AC132" i="11"/>
  <c r="AC133" i="11"/>
  <c r="AC134" i="11"/>
  <c r="AC135" i="11"/>
  <c r="AC136" i="11"/>
  <c r="AC137" i="11"/>
  <c r="AC138" i="11"/>
  <c r="AC139" i="11"/>
  <c r="AC140" i="11"/>
  <c r="AC141" i="11"/>
  <c r="AC142" i="11"/>
  <c r="AC143" i="11"/>
  <c r="AC144" i="11"/>
  <c r="AC145" i="11"/>
  <c r="AC146" i="11"/>
  <c r="AC147" i="11"/>
  <c r="AC148" i="11"/>
  <c r="AC149" i="11"/>
  <c r="AC150" i="11"/>
  <c r="AC151" i="11"/>
  <c r="AC152" i="11"/>
  <c r="AC153" i="11"/>
  <c r="AC154" i="11"/>
  <c r="AC155" i="11"/>
  <c r="AC156" i="11"/>
  <c r="AC157" i="11"/>
  <c r="AC158" i="11"/>
  <c r="AC159" i="11"/>
  <c r="AC160" i="11"/>
  <c r="AC161" i="11"/>
  <c r="AC162" i="11"/>
  <c r="AC163" i="11"/>
  <c r="AC164" i="11"/>
  <c r="AC165" i="11"/>
  <c r="AC166" i="11"/>
  <c r="AC167" i="11"/>
  <c r="AC168" i="11"/>
  <c r="AC169" i="11"/>
  <c r="AC170" i="11"/>
  <c r="AC171" i="11"/>
  <c r="AC172" i="11"/>
  <c r="AC173" i="11"/>
  <c r="AC174" i="11"/>
  <c r="AC175" i="11"/>
  <c r="AC176" i="11"/>
  <c r="AC177" i="11"/>
  <c r="AC178" i="11"/>
  <c r="AC179" i="11"/>
  <c r="AC180" i="11"/>
  <c r="AC181" i="11"/>
  <c r="AC182" i="11"/>
  <c r="AC183" i="11"/>
  <c r="AC184" i="11"/>
  <c r="AC185" i="11"/>
  <c r="AC186" i="11"/>
  <c r="AC187" i="11"/>
  <c r="AC188" i="11"/>
  <c r="AC189" i="11"/>
  <c r="AC190" i="11"/>
  <c r="AC191" i="11"/>
  <c r="AC192" i="11"/>
  <c r="AC193" i="11"/>
  <c r="AC194" i="11"/>
  <c r="AC195" i="11"/>
  <c r="AC196" i="11"/>
  <c r="AC197" i="11"/>
  <c r="AC198" i="11"/>
  <c r="AC199" i="11"/>
  <c r="AC201" i="11"/>
  <c r="AC202" i="11"/>
  <c r="AC203" i="11"/>
  <c r="AC204" i="11"/>
  <c r="AC205" i="11"/>
  <c r="AC206" i="11"/>
  <c r="AC207" i="11"/>
  <c r="AC208" i="11"/>
  <c r="AC209" i="11"/>
  <c r="AC210" i="11"/>
  <c r="AC211" i="11"/>
  <c r="AC212" i="11"/>
  <c r="AC213" i="11"/>
  <c r="AC214" i="11"/>
  <c r="AC215" i="11"/>
  <c r="AC216" i="11"/>
  <c r="AC217" i="11"/>
  <c r="AC218" i="11"/>
  <c r="AC219" i="11"/>
  <c r="AC220" i="11"/>
  <c r="AC221" i="11"/>
  <c r="AC222" i="11"/>
  <c r="AC223" i="11"/>
  <c r="AC224" i="11"/>
  <c r="AC225" i="11"/>
  <c r="AC226" i="11"/>
  <c r="AC227" i="11"/>
  <c r="AC228" i="11"/>
  <c r="AC229" i="11"/>
  <c r="AC230" i="11"/>
  <c r="AC231" i="11"/>
  <c r="AC232" i="11"/>
  <c r="AC233" i="11"/>
  <c r="AC234" i="11"/>
  <c r="AC235" i="11"/>
  <c r="AC236" i="11"/>
  <c r="AC237" i="11"/>
  <c r="AC238" i="11"/>
  <c r="AC239" i="11"/>
  <c r="AC240" i="11"/>
  <c r="AC241" i="11"/>
  <c r="AC242" i="11"/>
  <c r="AC2" i="11"/>
  <c r="AB3" i="11"/>
  <c r="AB4" i="11"/>
  <c r="AB5" i="11"/>
  <c r="AB6" i="11"/>
  <c r="AB7" i="11"/>
  <c r="AB8" i="11"/>
  <c r="AB9" i="11"/>
  <c r="AB10" i="11"/>
  <c r="AB11" i="11"/>
  <c r="AB12" i="11"/>
  <c r="AB13" i="11"/>
  <c r="AB14" i="11"/>
  <c r="AB15" i="11"/>
  <c r="AB16" i="11"/>
  <c r="AB17" i="11"/>
  <c r="AB18" i="11"/>
  <c r="AB19" i="11"/>
  <c r="AB20" i="11"/>
  <c r="AB21" i="11"/>
  <c r="AB22" i="11"/>
  <c r="AB23" i="11"/>
  <c r="AB24" i="11"/>
  <c r="AB25" i="11"/>
  <c r="AB26" i="11"/>
  <c r="AB27" i="11"/>
  <c r="AB28" i="11"/>
  <c r="AB29" i="11"/>
  <c r="AB30" i="11"/>
  <c r="AB31" i="11"/>
  <c r="AB32" i="11"/>
  <c r="AB33" i="11"/>
  <c r="AB34" i="11"/>
  <c r="AB35" i="11"/>
  <c r="AB36" i="11"/>
  <c r="AB37" i="11"/>
  <c r="AB38" i="11"/>
  <c r="AB39" i="11"/>
  <c r="AB40" i="11"/>
  <c r="AB41" i="11"/>
  <c r="AB42" i="11"/>
  <c r="AB43" i="11"/>
  <c r="AB44" i="11"/>
  <c r="AB45" i="11"/>
  <c r="AB46" i="11"/>
  <c r="AB47" i="11"/>
  <c r="AB48" i="11"/>
  <c r="AB49" i="11"/>
  <c r="AB50" i="11"/>
  <c r="AB51" i="11"/>
  <c r="AB52" i="11"/>
  <c r="AB53" i="11"/>
  <c r="AB54" i="11"/>
  <c r="AB55" i="11"/>
  <c r="AB56" i="11"/>
  <c r="AB57" i="11"/>
  <c r="AB58" i="11"/>
  <c r="AB59" i="11"/>
  <c r="AB60" i="11"/>
  <c r="AB61" i="11"/>
  <c r="AB62" i="11"/>
  <c r="AB63" i="11"/>
  <c r="AB64" i="11"/>
  <c r="AB65" i="11"/>
  <c r="AB66" i="11"/>
  <c r="AB67" i="11"/>
  <c r="AB68" i="11"/>
  <c r="AB69" i="11"/>
  <c r="AB70" i="11"/>
  <c r="AB71" i="11"/>
  <c r="AB72" i="11"/>
  <c r="AB73" i="11"/>
  <c r="AB74" i="11"/>
  <c r="AB75" i="11"/>
  <c r="AB76" i="11"/>
  <c r="AB77" i="11"/>
  <c r="AB78" i="11"/>
  <c r="AB79" i="11"/>
  <c r="AB80" i="11"/>
  <c r="AB81" i="11"/>
  <c r="AB82" i="11"/>
  <c r="AB83" i="11"/>
  <c r="AB84" i="11"/>
  <c r="AB85" i="11"/>
  <c r="AB86" i="11"/>
  <c r="AB87" i="11"/>
  <c r="AB88" i="11"/>
  <c r="AB89" i="11"/>
  <c r="AB90" i="11"/>
  <c r="AB91" i="11"/>
  <c r="AB92" i="11"/>
  <c r="AB93" i="11"/>
  <c r="AB94" i="11"/>
  <c r="AB95" i="11"/>
  <c r="AB96" i="11"/>
  <c r="AB97" i="11"/>
  <c r="AB98" i="11"/>
  <c r="AB99" i="11"/>
  <c r="AB100" i="11"/>
  <c r="AB101" i="11"/>
  <c r="AB102" i="11"/>
  <c r="AB103" i="11"/>
  <c r="AB104" i="11"/>
  <c r="AB105" i="11"/>
  <c r="AB106" i="11"/>
  <c r="AB107" i="11"/>
  <c r="AB108" i="11"/>
  <c r="AB109" i="11"/>
  <c r="AB110" i="11"/>
  <c r="AB111" i="11"/>
  <c r="AB112" i="11"/>
  <c r="AB113" i="11"/>
  <c r="AB114" i="11"/>
  <c r="AB115" i="11"/>
  <c r="AB116" i="11"/>
  <c r="AB117" i="11"/>
  <c r="AB118" i="11"/>
  <c r="AB119" i="11"/>
  <c r="AB120" i="11"/>
  <c r="AB121" i="11"/>
  <c r="AB122" i="11"/>
  <c r="AB123" i="11"/>
  <c r="AB124" i="11"/>
  <c r="AB125" i="11"/>
  <c r="AB126" i="11"/>
  <c r="AB127" i="11"/>
  <c r="AB128" i="11"/>
  <c r="AB129" i="11"/>
  <c r="AB130" i="11"/>
  <c r="AB131" i="11"/>
  <c r="AB132" i="11"/>
  <c r="AB133" i="11"/>
  <c r="AB134" i="11"/>
  <c r="AB135" i="11"/>
  <c r="AB136" i="11"/>
  <c r="AB137" i="11"/>
  <c r="AB138" i="11"/>
  <c r="AB139" i="11"/>
  <c r="AB140" i="11"/>
  <c r="AB141" i="11"/>
  <c r="AB142" i="11"/>
  <c r="AB143" i="11"/>
  <c r="AB144" i="11"/>
  <c r="AB145" i="11"/>
  <c r="AB146" i="11"/>
  <c r="AB147" i="11"/>
  <c r="AB148" i="11"/>
  <c r="AB149" i="11"/>
  <c r="AB150" i="11"/>
  <c r="AB151" i="11"/>
  <c r="AB152" i="11"/>
  <c r="AB153" i="11"/>
  <c r="AB154" i="11"/>
  <c r="AB155" i="11"/>
  <c r="AB156" i="11"/>
  <c r="AB157" i="11"/>
  <c r="AB158" i="11"/>
  <c r="AB159" i="11"/>
  <c r="AB160" i="11"/>
  <c r="AB161" i="11"/>
  <c r="AB162" i="11"/>
  <c r="AB163" i="11"/>
  <c r="AB164" i="11"/>
  <c r="AB165" i="11"/>
  <c r="AB166" i="11"/>
  <c r="AB167" i="11"/>
  <c r="AB168" i="11"/>
  <c r="AB169" i="11"/>
  <c r="AB170" i="11"/>
  <c r="AB171" i="11"/>
  <c r="AB172" i="11"/>
  <c r="AB173" i="11"/>
  <c r="AB174" i="11"/>
  <c r="AB175" i="11"/>
  <c r="AB176" i="11"/>
  <c r="AB177" i="11"/>
  <c r="AB178" i="11"/>
  <c r="AB179" i="11"/>
  <c r="AB180" i="11"/>
  <c r="AB181" i="11"/>
  <c r="AB182" i="11"/>
  <c r="AB183" i="11"/>
  <c r="AB184" i="11"/>
  <c r="AB185" i="11"/>
  <c r="AB186" i="11"/>
  <c r="AB187" i="11"/>
  <c r="AB188" i="11"/>
  <c r="AB189" i="11"/>
  <c r="AB190" i="11"/>
  <c r="AB191" i="11"/>
  <c r="AB192" i="11"/>
  <c r="AB193" i="11"/>
  <c r="AB194" i="11"/>
  <c r="AB195" i="11"/>
  <c r="AB196" i="11"/>
  <c r="AB197" i="11"/>
  <c r="AB198" i="11"/>
  <c r="AB199" i="11"/>
  <c r="AB201" i="11"/>
  <c r="AB202" i="11"/>
  <c r="AB203" i="11"/>
  <c r="AB204" i="11"/>
  <c r="AB205" i="11"/>
  <c r="AB206" i="11"/>
  <c r="AB207" i="11"/>
  <c r="AB208" i="11"/>
  <c r="AB209" i="11"/>
  <c r="AB210" i="11"/>
  <c r="AB211" i="11"/>
  <c r="AB212" i="11"/>
  <c r="AB213" i="11"/>
  <c r="AB214" i="11"/>
  <c r="AB215" i="11"/>
  <c r="AB216" i="11"/>
  <c r="AB217" i="11"/>
  <c r="AB218" i="11"/>
  <c r="AB219" i="11"/>
  <c r="AB220" i="11"/>
  <c r="AB221" i="11"/>
  <c r="AB222" i="11"/>
  <c r="AB223" i="11"/>
  <c r="AB224" i="11"/>
  <c r="AB225" i="11"/>
  <c r="AB226" i="11"/>
  <c r="AB227" i="11"/>
  <c r="AB228" i="11"/>
  <c r="AB229" i="11"/>
  <c r="AB230" i="11"/>
  <c r="AB231" i="11"/>
  <c r="AB232" i="11"/>
  <c r="AB233" i="11"/>
  <c r="AB234" i="11"/>
  <c r="AB235" i="11"/>
  <c r="AB236" i="11"/>
  <c r="AB237" i="11"/>
  <c r="AB238" i="11"/>
  <c r="AB239" i="11"/>
  <c r="AB240" i="11"/>
  <c r="AB241" i="11"/>
  <c r="AB242" i="11"/>
  <c r="AB2" i="11"/>
  <c r="AA3" i="11"/>
  <c r="AA4" i="11"/>
  <c r="AA5" i="11"/>
  <c r="AA6" i="11"/>
  <c r="AA7" i="11"/>
  <c r="AA8" i="11"/>
  <c r="AA9" i="11"/>
  <c r="AA10" i="11"/>
  <c r="AA11" i="11"/>
  <c r="AA12" i="11"/>
  <c r="AA13" i="11"/>
  <c r="AA14" i="11"/>
  <c r="AA15" i="11"/>
  <c r="AA16" i="11"/>
  <c r="AA17" i="11"/>
  <c r="AA18" i="11"/>
  <c r="AA19" i="11"/>
  <c r="AA20" i="11"/>
  <c r="AA21" i="11"/>
  <c r="AA22" i="11"/>
  <c r="AA23" i="11"/>
  <c r="AA24" i="11"/>
  <c r="AA25" i="11"/>
  <c r="AA26" i="11"/>
  <c r="AA27" i="11"/>
  <c r="AA28" i="11"/>
  <c r="AA29" i="11"/>
  <c r="AA30" i="11"/>
  <c r="AA31" i="11"/>
  <c r="AA32" i="11"/>
  <c r="AA33" i="11"/>
  <c r="AA34" i="11"/>
  <c r="AA35" i="11"/>
  <c r="AA36" i="11"/>
  <c r="AA37" i="11"/>
  <c r="AA38" i="11"/>
  <c r="AA39" i="11"/>
  <c r="AA40" i="11"/>
  <c r="AA41" i="11"/>
  <c r="AA42" i="11"/>
  <c r="AA43" i="11"/>
  <c r="AA44" i="11"/>
  <c r="AA45" i="11"/>
  <c r="AA46" i="11"/>
  <c r="AA47" i="11"/>
  <c r="AA48" i="11"/>
  <c r="AA49" i="11"/>
  <c r="AA50" i="11"/>
  <c r="AA51" i="11"/>
  <c r="AA52" i="11"/>
  <c r="AA53" i="11"/>
  <c r="AA54" i="11"/>
  <c r="AA55" i="11"/>
  <c r="AA56" i="11"/>
  <c r="AA57" i="11"/>
  <c r="AA58" i="11"/>
  <c r="AA59" i="11"/>
  <c r="AA60" i="11"/>
  <c r="AA61" i="11"/>
  <c r="AA62" i="11"/>
  <c r="AA63" i="11"/>
  <c r="AA64" i="11"/>
  <c r="AA65" i="11"/>
  <c r="AA66" i="11"/>
  <c r="AA67" i="11"/>
  <c r="AA68" i="11"/>
  <c r="AA69" i="11"/>
  <c r="AA70" i="11"/>
  <c r="AA71" i="11"/>
  <c r="AA72" i="11"/>
  <c r="AA73" i="11"/>
  <c r="AA74" i="11"/>
  <c r="AA75" i="11"/>
  <c r="AA76" i="11"/>
  <c r="AA77" i="11"/>
  <c r="AA78" i="11"/>
  <c r="AA79" i="11"/>
  <c r="AA80" i="11"/>
  <c r="AA81" i="11"/>
  <c r="AA82" i="11"/>
  <c r="AA83" i="11"/>
  <c r="AA84" i="11"/>
  <c r="AA85" i="11"/>
  <c r="AA86" i="11"/>
  <c r="AA87" i="11"/>
  <c r="AA88" i="11"/>
  <c r="AA89" i="11"/>
  <c r="AA90" i="11"/>
  <c r="AA91" i="11"/>
  <c r="AA92" i="11"/>
  <c r="AA93" i="11"/>
  <c r="AA94" i="11"/>
  <c r="AA95" i="11"/>
  <c r="AA96" i="11"/>
  <c r="AA97" i="11"/>
  <c r="AA98" i="11"/>
  <c r="AA99" i="11"/>
  <c r="AA100" i="11"/>
  <c r="AA101" i="11"/>
  <c r="AA102" i="11"/>
  <c r="AA103" i="11"/>
  <c r="AA104" i="11"/>
  <c r="AA105" i="11"/>
  <c r="AA106" i="11"/>
  <c r="AA107" i="11"/>
  <c r="AA108" i="11"/>
  <c r="AA109" i="11"/>
  <c r="AA110" i="11"/>
  <c r="AA111" i="11"/>
  <c r="AA112" i="11"/>
  <c r="AA113" i="11"/>
  <c r="AA114" i="11"/>
  <c r="AA115" i="11"/>
  <c r="AA116" i="11"/>
  <c r="AA117" i="11"/>
  <c r="AA118" i="11"/>
  <c r="AA119" i="11"/>
  <c r="AA120" i="11"/>
  <c r="AA121" i="11"/>
  <c r="AA122" i="11"/>
  <c r="AA123" i="11"/>
  <c r="AA124" i="11"/>
  <c r="AA125" i="11"/>
  <c r="AA126" i="11"/>
  <c r="AA127" i="11"/>
  <c r="AA128" i="11"/>
  <c r="AA129" i="11"/>
  <c r="AA130" i="11"/>
  <c r="AA131" i="11"/>
  <c r="AA132" i="11"/>
  <c r="AA133" i="11"/>
  <c r="AA134" i="11"/>
  <c r="AA135" i="11"/>
  <c r="AA136" i="11"/>
  <c r="AA137" i="11"/>
  <c r="AA138" i="11"/>
  <c r="AA139" i="11"/>
  <c r="AA140" i="11"/>
  <c r="AA141" i="11"/>
  <c r="AA142" i="11"/>
  <c r="AA143" i="11"/>
  <c r="AA144" i="11"/>
  <c r="AA145" i="11"/>
  <c r="AA146" i="11"/>
  <c r="AA147" i="11"/>
  <c r="AA148" i="11"/>
  <c r="AA149" i="11"/>
  <c r="AA150" i="11"/>
  <c r="AA151" i="11"/>
  <c r="AA152" i="11"/>
  <c r="AA153" i="11"/>
  <c r="AA154" i="11"/>
  <c r="AA155" i="11"/>
  <c r="AA156" i="11"/>
  <c r="AA157" i="11"/>
  <c r="AA158" i="11"/>
  <c r="AA159" i="11"/>
  <c r="AA160" i="11"/>
  <c r="AA161" i="11"/>
  <c r="AA162" i="11"/>
  <c r="AA163" i="11"/>
  <c r="AA164" i="11"/>
  <c r="AA165" i="11"/>
  <c r="AA166" i="11"/>
  <c r="AA167" i="11"/>
  <c r="AA168" i="11"/>
  <c r="AA169" i="11"/>
  <c r="AA170" i="11"/>
  <c r="AA171" i="11"/>
  <c r="AA172" i="11"/>
  <c r="AA173" i="11"/>
  <c r="AA174" i="11"/>
  <c r="AA175" i="11"/>
  <c r="AA176" i="11"/>
  <c r="AA177" i="11"/>
  <c r="AA178" i="11"/>
  <c r="AA179" i="11"/>
  <c r="AA180" i="11"/>
  <c r="AA181" i="11"/>
  <c r="AA182" i="11"/>
  <c r="AA183" i="11"/>
  <c r="AA184" i="11"/>
  <c r="AA185" i="11"/>
  <c r="AA186" i="11"/>
  <c r="AA187" i="11"/>
  <c r="AA188" i="11"/>
  <c r="AA189" i="11"/>
  <c r="AA190" i="11"/>
  <c r="AA191" i="11"/>
  <c r="AA192" i="11"/>
  <c r="AA193" i="11"/>
  <c r="AA194" i="11"/>
  <c r="AA195" i="11"/>
  <c r="AA196" i="11"/>
  <c r="AA197" i="11"/>
  <c r="AA198" i="11"/>
  <c r="AA199" i="11"/>
  <c r="AA201" i="11"/>
  <c r="AA202" i="11"/>
  <c r="AA203" i="11"/>
  <c r="AA204" i="11"/>
  <c r="AA205" i="11"/>
  <c r="AA206" i="11"/>
  <c r="AA207" i="11"/>
  <c r="AA208" i="11"/>
  <c r="AA209" i="11"/>
  <c r="AA210" i="11"/>
  <c r="AA211" i="11"/>
  <c r="AA212" i="11"/>
  <c r="AA213" i="11"/>
  <c r="AA214" i="11"/>
  <c r="AA215" i="11"/>
  <c r="AA216" i="11"/>
  <c r="AA217" i="11"/>
  <c r="AA218" i="11"/>
  <c r="AA219" i="11"/>
  <c r="AA220" i="11"/>
  <c r="AA221" i="11"/>
  <c r="AA222" i="11"/>
  <c r="AA223" i="11"/>
  <c r="AA224" i="11"/>
  <c r="AA225" i="11"/>
  <c r="AA226" i="11"/>
  <c r="AA227" i="11"/>
  <c r="AA228" i="11"/>
  <c r="AA229" i="11"/>
  <c r="AA230" i="11"/>
  <c r="AA231" i="11"/>
  <c r="AA232" i="11"/>
  <c r="AA233" i="11"/>
  <c r="AA234" i="11"/>
  <c r="AA235" i="11"/>
  <c r="AA236" i="11"/>
  <c r="AA237" i="11"/>
  <c r="AA238" i="11"/>
  <c r="AA239" i="11"/>
  <c r="AA240" i="11"/>
  <c r="AA241" i="11"/>
  <c r="AA242" i="11"/>
  <c r="AA2" i="11"/>
  <c r="Z3" i="11"/>
  <c r="Z4" i="11"/>
  <c r="Z5" i="11"/>
  <c r="Z6" i="11"/>
  <c r="Z7" i="11"/>
  <c r="Z8" i="11"/>
  <c r="Z9" i="11"/>
  <c r="Z10" i="11"/>
  <c r="Z11" i="11"/>
  <c r="Z12" i="11"/>
  <c r="Z13" i="11"/>
  <c r="Z14" i="11"/>
  <c r="Z15" i="11"/>
  <c r="Z16" i="11"/>
  <c r="Z17" i="11"/>
  <c r="Z18" i="11"/>
  <c r="Z19" i="11"/>
  <c r="Z20" i="11"/>
  <c r="Z21" i="11"/>
  <c r="Z22" i="11"/>
  <c r="Z23" i="11"/>
  <c r="Z24" i="11"/>
  <c r="Z25" i="11"/>
  <c r="Z26" i="11"/>
  <c r="Z27" i="11"/>
  <c r="Z28" i="11"/>
  <c r="Z29" i="11"/>
  <c r="Z30" i="11"/>
  <c r="Z31" i="11"/>
  <c r="Z32" i="11"/>
  <c r="Z33" i="11"/>
  <c r="Z34" i="11"/>
  <c r="Z35" i="11"/>
  <c r="Z36" i="11"/>
  <c r="Z37" i="11"/>
  <c r="Z38" i="11"/>
  <c r="Z39" i="11"/>
  <c r="Z40" i="11"/>
  <c r="Z41" i="11"/>
  <c r="Z42" i="11"/>
  <c r="Z43" i="11"/>
  <c r="Z44" i="11"/>
  <c r="Z45" i="11"/>
  <c r="Z46" i="11"/>
  <c r="Z47" i="11"/>
  <c r="Z48" i="11"/>
  <c r="Z49" i="11"/>
  <c r="Z50" i="11"/>
  <c r="Z51" i="11"/>
  <c r="Z52" i="11"/>
  <c r="Z53" i="11"/>
  <c r="Z54" i="11"/>
  <c r="Z55" i="11"/>
  <c r="Z56" i="11"/>
  <c r="Z57" i="11"/>
  <c r="Z58" i="11"/>
  <c r="Z59" i="11"/>
  <c r="Z60" i="11"/>
  <c r="Z61" i="11"/>
  <c r="Z62" i="11"/>
  <c r="Z63" i="11"/>
  <c r="Z64" i="11"/>
  <c r="Z65" i="11"/>
  <c r="Z66" i="11"/>
  <c r="Z67" i="11"/>
  <c r="Z68" i="11"/>
  <c r="Z69" i="11"/>
  <c r="Z70" i="11"/>
  <c r="Z71" i="11"/>
  <c r="Z72" i="11"/>
  <c r="Z73" i="11"/>
  <c r="Z74" i="11"/>
  <c r="Z75" i="11"/>
  <c r="Z76" i="11"/>
  <c r="Z77" i="11"/>
  <c r="Z78" i="11"/>
  <c r="Z79" i="11"/>
  <c r="Z80" i="11"/>
  <c r="Z81" i="11"/>
  <c r="Z82" i="11"/>
  <c r="Z83" i="11"/>
  <c r="Z84" i="11"/>
  <c r="Z85" i="11"/>
  <c r="Z86" i="11"/>
  <c r="Z87" i="11"/>
  <c r="Z88" i="11"/>
  <c r="Z89" i="11"/>
  <c r="Z90" i="11"/>
  <c r="Z91" i="11"/>
  <c r="Z92" i="11"/>
  <c r="Z93" i="11"/>
  <c r="Z94" i="11"/>
  <c r="Z95" i="11"/>
  <c r="Z96" i="11"/>
  <c r="Z97" i="11"/>
  <c r="Z98" i="11"/>
  <c r="Z99" i="11"/>
  <c r="Z100" i="11"/>
  <c r="Z101" i="11"/>
  <c r="Z102" i="11"/>
  <c r="Z103" i="11"/>
  <c r="Z104" i="11"/>
  <c r="Z105" i="11"/>
  <c r="Z106" i="11"/>
  <c r="Z107" i="11"/>
  <c r="Z108" i="11"/>
  <c r="Z109" i="11"/>
  <c r="Z110" i="11"/>
  <c r="Z111" i="11"/>
  <c r="Z112" i="11"/>
  <c r="Z113" i="11"/>
  <c r="Z114" i="11"/>
  <c r="Z115" i="11"/>
  <c r="Z116" i="11"/>
  <c r="Z117" i="11"/>
  <c r="Z118" i="11"/>
  <c r="Z119" i="11"/>
  <c r="Z120" i="11"/>
  <c r="Z121" i="11"/>
  <c r="Z122" i="11"/>
  <c r="Z123" i="11"/>
  <c r="Z124" i="11"/>
  <c r="Z125" i="11"/>
  <c r="Z126" i="11"/>
  <c r="Z127" i="11"/>
  <c r="Z128" i="11"/>
  <c r="Z129" i="11"/>
  <c r="Z130" i="11"/>
  <c r="Z131" i="11"/>
  <c r="Z132" i="11"/>
  <c r="Z133" i="11"/>
  <c r="Z134" i="11"/>
  <c r="Z135" i="11"/>
  <c r="Z136" i="11"/>
  <c r="Z137" i="11"/>
  <c r="Z138" i="11"/>
  <c r="Z139" i="11"/>
  <c r="Z140" i="11"/>
  <c r="Z141" i="11"/>
  <c r="Z142" i="11"/>
  <c r="Z143" i="11"/>
  <c r="Z144" i="11"/>
  <c r="Z145" i="11"/>
  <c r="Z146" i="11"/>
  <c r="Z147" i="11"/>
  <c r="Z148" i="11"/>
  <c r="Z149" i="11"/>
  <c r="Z150" i="11"/>
  <c r="Z151" i="11"/>
  <c r="Z152" i="11"/>
  <c r="Z153" i="11"/>
  <c r="Z154" i="11"/>
  <c r="Z155" i="11"/>
  <c r="Z156" i="11"/>
  <c r="Z157" i="11"/>
  <c r="Z158" i="11"/>
  <c r="Z159" i="11"/>
  <c r="Z160" i="11"/>
  <c r="Z161" i="11"/>
  <c r="Z162" i="11"/>
  <c r="Z163" i="11"/>
  <c r="Z164" i="11"/>
  <c r="Z165" i="11"/>
  <c r="Z166" i="11"/>
  <c r="Z167" i="11"/>
  <c r="Z168" i="11"/>
  <c r="Z169" i="11"/>
  <c r="Z170" i="11"/>
  <c r="Z171" i="11"/>
  <c r="Z172" i="11"/>
  <c r="Z173" i="11"/>
  <c r="Z174" i="11"/>
  <c r="Z175" i="11"/>
  <c r="Z176" i="11"/>
  <c r="Z177" i="11"/>
  <c r="Z178" i="11"/>
  <c r="Z179" i="11"/>
  <c r="Z180" i="11"/>
  <c r="Z181" i="11"/>
  <c r="Z182" i="11"/>
  <c r="Z183" i="11"/>
  <c r="Z184" i="11"/>
  <c r="Z185" i="11"/>
  <c r="Z186" i="11"/>
  <c r="Z187" i="11"/>
  <c r="Z188" i="11"/>
  <c r="Z189" i="11"/>
  <c r="Z190" i="11"/>
  <c r="Z191" i="11"/>
  <c r="Z192" i="11"/>
  <c r="Z193" i="11"/>
  <c r="Z194" i="11"/>
  <c r="Z195" i="11"/>
  <c r="Z196" i="11"/>
  <c r="Z197" i="11"/>
  <c r="Z198" i="11"/>
  <c r="Z199" i="11"/>
  <c r="Z201" i="11"/>
  <c r="Z202" i="11"/>
  <c r="Z203" i="11"/>
  <c r="Z204" i="11"/>
  <c r="Z205" i="11"/>
  <c r="Z206" i="11"/>
  <c r="Z207" i="11"/>
  <c r="Z208" i="11"/>
  <c r="Z209" i="11"/>
  <c r="Z210" i="11"/>
  <c r="Z211" i="11"/>
  <c r="Z212" i="11"/>
  <c r="Z213" i="11"/>
  <c r="Z214" i="11"/>
  <c r="Z215" i="11"/>
  <c r="Z216" i="11"/>
  <c r="Z217" i="11"/>
  <c r="Z218" i="11"/>
  <c r="Z219" i="11"/>
  <c r="Z220" i="11"/>
  <c r="Z221" i="11"/>
  <c r="Z222" i="11"/>
  <c r="Z223" i="11"/>
  <c r="Z224" i="11"/>
  <c r="Z225" i="11"/>
  <c r="Z226" i="11"/>
  <c r="Z227" i="11"/>
  <c r="Z228" i="11"/>
  <c r="Z229" i="11"/>
  <c r="Z230" i="11"/>
  <c r="Z231" i="11"/>
  <c r="Z232" i="11"/>
  <c r="Z233" i="11"/>
  <c r="Z234" i="11"/>
  <c r="Z235" i="11"/>
  <c r="Z236" i="11"/>
  <c r="Z237" i="11"/>
  <c r="Z238" i="11"/>
  <c r="Z239" i="11"/>
  <c r="Z240" i="11"/>
  <c r="Z241" i="11"/>
  <c r="Z242" i="11"/>
  <c r="Z2" i="11"/>
  <c r="Y3" i="11"/>
  <c r="Y4" i="11"/>
  <c r="Y5" i="11"/>
  <c r="Y6" i="11"/>
  <c r="Y7" i="11"/>
  <c r="Y8" i="11"/>
  <c r="Y9" i="11"/>
  <c r="Y10" i="11"/>
  <c r="Y11" i="11"/>
  <c r="Y12" i="11"/>
  <c r="Y13" i="11"/>
  <c r="Y14" i="11"/>
  <c r="Y15" i="11"/>
  <c r="Y16" i="11"/>
  <c r="Y17" i="11"/>
  <c r="Y18" i="11"/>
  <c r="Y19" i="11"/>
  <c r="Y20" i="11"/>
  <c r="Y21" i="11"/>
  <c r="Y22" i="11"/>
  <c r="Y23" i="11"/>
  <c r="Y24" i="11"/>
  <c r="Y25" i="11"/>
  <c r="Y26" i="11"/>
  <c r="Y27" i="11"/>
  <c r="Y28" i="11"/>
  <c r="Y29" i="11"/>
  <c r="Y30" i="11"/>
  <c r="Y31" i="11"/>
  <c r="Y32" i="11"/>
  <c r="Y33" i="11"/>
  <c r="Y34" i="11"/>
  <c r="Y35" i="11"/>
  <c r="Y36" i="11"/>
  <c r="Y37" i="11"/>
  <c r="Y38" i="11"/>
  <c r="Y39" i="11"/>
  <c r="Y40" i="11"/>
  <c r="Y41" i="11"/>
  <c r="Y42" i="11"/>
  <c r="Y43" i="11"/>
  <c r="Y44" i="11"/>
  <c r="Y45" i="11"/>
  <c r="Y46" i="11"/>
  <c r="Y47" i="11"/>
  <c r="Y48" i="11"/>
  <c r="Y49" i="11"/>
  <c r="Y50" i="11"/>
  <c r="Y51" i="11"/>
  <c r="Y52" i="11"/>
  <c r="Y53" i="11"/>
  <c r="Y54" i="11"/>
  <c r="Y55" i="11"/>
  <c r="Y56" i="11"/>
  <c r="Y57" i="11"/>
  <c r="Y58" i="11"/>
  <c r="Y59" i="11"/>
  <c r="Y60" i="11"/>
  <c r="Y61" i="11"/>
  <c r="Y62" i="11"/>
  <c r="Y63" i="11"/>
  <c r="Y64" i="11"/>
  <c r="Y65" i="11"/>
  <c r="Y66" i="11"/>
  <c r="Y67" i="11"/>
  <c r="Y68" i="11"/>
  <c r="Y69" i="11"/>
  <c r="Y70" i="11"/>
  <c r="Y71" i="11"/>
  <c r="Y72" i="11"/>
  <c r="Y73" i="11"/>
  <c r="Y74" i="11"/>
  <c r="Y75" i="11"/>
  <c r="Y76" i="11"/>
  <c r="Y77" i="11"/>
  <c r="Y78" i="11"/>
  <c r="Y79" i="11"/>
  <c r="Y80" i="11"/>
  <c r="Y81" i="11"/>
  <c r="Y82" i="11"/>
  <c r="Y83" i="11"/>
  <c r="Y84" i="11"/>
  <c r="Y85" i="11"/>
  <c r="Y86" i="11"/>
  <c r="Y87" i="11"/>
  <c r="Y88" i="11"/>
  <c r="Y89" i="11"/>
  <c r="Y90" i="11"/>
  <c r="Y91" i="11"/>
  <c r="Y92" i="11"/>
  <c r="Y93" i="11"/>
  <c r="Y94" i="11"/>
  <c r="Y95" i="11"/>
  <c r="Y96" i="11"/>
  <c r="Y97" i="11"/>
  <c r="Y98" i="11"/>
  <c r="Y99" i="11"/>
  <c r="Y100" i="11"/>
  <c r="Y101" i="11"/>
  <c r="Y102" i="11"/>
  <c r="Y103" i="11"/>
  <c r="Y104" i="11"/>
  <c r="Y105" i="11"/>
  <c r="Y106" i="11"/>
  <c r="Y107" i="11"/>
  <c r="Y108" i="11"/>
  <c r="Y109" i="11"/>
  <c r="Y110" i="11"/>
  <c r="Y111" i="11"/>
  <c r="Y112" i="11"/>
  <c r="Y113" i="11"/>
  <c r="Y114" i="11"/>
  <c r="Y115" i="11"/>
  <c r="Y116" i="11"/>
  <c r="Y117" i="11"/>
  <c r="Y118" i="11"/>
  <c r="Y119" i="11"/>
  <c r="Y120" i="11"/>
  <c r="Y121" i="11"/>
  <c r="Y122" i="11"/>
  <c r="Y123" i="11"/>
  <c r="Y124" i="11"/>
  <c r="Y125" i="11"/>
  <c r="Y126" i="11"/>
  <c r="Y127" i="11"/>
  <c r="Y128" i="11"/>
  <c r="Y129" i="11"/>
  <c r="Y130" i="11"/>
  <c r="Y131" i="11"/>
  <c r="Y132" i="11"/>
  <c r="Y133" i="11"/>
  <c r="Y134" i="11"/>
  <c r="Y135" i="11"/>
  <c r="Y136" i="11"/>
  <c r="Y137" i="11"/>
  <c r="Y138" i="11"/>
  <c r="Y139" i="11"/>
  <c r="Y140" i="11"/>
  <c r="Y141" i="11"/>
  <c r="Y142" i="11"/>
  <c r="Y143" i="11"/>
  <c r="Y144" i="11"/>
  <c r="Y145" i="11"/>
  <c r="Y146" i="11"/>
  <c r="Y147" i="11"/>
  <c r="Y148" i="11"/>
  <c r="Y149" i="11"/>
  <c r="Y150" i="11"/>
  <c r="Y151" i="11"/>
  <c r="Y152" i="11"/>
  <c r="Y153" i="11"/>
  <c r="Y154" i="11"/>
  <c r="Y155" i="11"/>
  <c r="Y156" i="11"/>
  <c r="Y157" i="11"/>
  <c r="Y158" i="11"/>
  <c r="Y159" i="11"/>
  <c r="Y160" i="11"/>
  <c r="Y161" i="11"/>
  <c r="Y162" i="11"/>
  <c r="Y163" i="11"/>
  <c r="Y164" i="11"/>
  <c r="Y165" i="11"/>
  <c r="Y166" i="11"/>
  <c r="Y167" i="11"/>
  <c r="Y168" i="11"/>
  <c r="Y169" i="11"/>
  <c r="Y170" i="11"/>
  <c r="Y171" i="11"/>
  <c r="Y172" i="11"/>
  <c r="Y173" i="11"/>
  <c r="Y174" i="11"/>
  <c r="Y175" i="11"/>
  <c r="Y176" i="11"/>
  <c r="Y177" i="11"/>
  <c r="Y178" i="11"/>
  <c r="Y179" i="11"/>
  <c r="Y180" i="11"/>
  <c r="Y181" i="11"/>
  <c r="Y182" i="11"/>
  <c r="Y183" i="11"/>
  <c r="Y184" i="11"/>
  <c r="Y185" i="11"/>
  <c r="Y186" i="11"/>
  <c r="Y187" i="11"/>
  <c r="Y188" i="11"/>
  <c r="Y189" i="11"/>
  <c r="Y190" i="11"/>
  <c r="Y191" i="11"/>
  <c r="Y192" i="11"/>
  <c r="Y193" i="11"/>
  <c r="Y194" i="11"/>
  <c r="Y195" i="11"/>
  <c r="Y196" i="11"/>
  <c r="Y197" i="11"/>
  <c r="Y198" i="11"/>
  <c r="Y199" i="11"/>
  <c r="Y201" i="11"/>
  <c r="Y202" i="11"/>
  <c r="Y203" i="11"/>
  <c r="Y204" i="11"/>
  <c r="Y205" i="11"/>
  <c r="Y206" i="11"/>
  <c r="Y207" i="11"/>
  <c r="Y208" i="11"/>
  <c r="Y209" i="11"/>
  <c r="Y210" i="11"/>
  <c r="Y211" i="11"/>
  <c r="Y212" i="11"/>
  <c r="Y213" i="11"/>
  <c r="Y214" i="11"/>
  <c r="Y215" i="11"/>
  <c r="Y216" i="11"/>
  <c r="Y217" i="11"/>
  <c r="Y218" i="11"/>
  <c r="Y219" i="11"/>
  <c r="Y220" i="11"/>
  <c r="Y221" i="11"/>
  <c r="Y222" i="11"/>
  <c r="Y223" i="11"/>
  <c r="Y224" i="11"/>
  <c r="Y225" i="11"/>
  <c r="Y226" i="11"/>
  <c r="Y227" i="11"/>
  <c r="Y228" i="11"/>
  <c r="Y229" i="11"/>
  <c r="Y230" i="11"/>
  <c r="Y231" i="11"/>
  <c r="Y232" i="11"/>
  <c r="Y233" i="11"/>
  <c r="Y234" i="11"/>
  <c r="Y235" i="11"/>
  <c r="Y236" i="11"/>
  <c r="Y237" i="11"/>
  <c r="Y238" i="11"/>
  <c r="Y239" i="11"/>
  <c r="Y240" i="11"/>
  <c r="Y241" i="11"/>
  <c r="Y242" i="11"/>
  <c r="Y2" i="11"/>
  <c r="AI2" i="11"/>
</calcChain>
</file>

<file path=xl/sharedStrings.xml><?xml version="1.0" encoding="utf-8"?>
<sst xmlns="http://schemas.openxmlformats.org/spreadsheetml/2006/main" count="4470" uniqueCount="1319">
  <si>
    <t>Column name</t>
  </si>
  <si>
    <t>Definition</t>
  </si>
  <si>
    <t>Theme</t>
  </si>
  <si>
    <t>theme of the dataset</t>
  </si>
  <si>
    <t>Data_display_name</t>
  </si>
  <si>
    <t>display name of the dataset</t>
  </si>
  <si>
    <t>Description</t>
  </si>
  <si>
    <t>data description</t>
  </si>
  <si>
    <t>Provider</t>
  </si>
  <si>
    <t>data provider</t>
  </si>
  <si>
    <t>URL</t>
  </si>
  <si>
    <t>data download URL</t>
  </si>
  <si>
    <t>KPI_groups</t>
  </si>
  <si>
    <t>the KPI groups associated with the dataset</t>
  </si>
  <si>
    <t>KPIs</t>
  </si>
  <si>
    <t>the KPIs associated with the dataset</t>
  </si>
  <si>
    <t>Data_original_name</t>
  </si>
  <si>
    <t>the original data name on the data download page</t>
  </si>
  <si>
    <t>Data_web_anchor</t>
  </si>
  <si>
    <t>the display name on the data download link</t>
  </si>
  <si>
    <t>Earliest_year</t>
  </si>
  <si>
    <t>the earliest year available</t>
  </si>
  <si>
    <t>Latest_year</t>
  </si>
  <si>
    <t>the latest year available</t>
  </si>
  <si>
    <t>Format</t>
  </si>
  <si>
    <t>data formats</t>
  </si>
  <si>
    <t>Update_frequency</t>
  </si>
  <si>
    <t>data update frequency</t>
  </si>
  <si>
    <t>Coverage</t>
  </si>
  <si>
    <t>coverage areas</t>
  </si>
  <si>
    <t>Geographical_level</t>
  </si>
  <si>
    <t>geographical granularity</t>
  </si>
  <si>
    <t>Access_level</t>
  </si>
  <si>
    <t>data access level</t>
  </si>
  <si>
    <t>Licence</t>
  </si>
  <si>
    <t>data license</t>
  </si>
  <si>
    <t>id</t>
  </si>
  <si>
    <t>theme</t>
  </si>
  <si>
    <t>data_display_name</t>
  </si>
  <si>
    <t>keep</t>
  </si>
  <si>
    <t>description</t>
  </si>
  <si>
    <t>keywords</t>
  </si>
  <si>
    <t>exists</t>
  </si>
  <si>
    <t>reference</t>
  </si>
  <si>
    <t>reference table/fig/pgno</t>
  </si>
  <si>
    <t>provider</t>
  </si>
  <si>
    <t>url</t>
  </si>
  <si>
    <t>kpi_domain</t>
  </si>
  <si>
    <t>kpis</t>
  </si>
  <si>
    <t>data_original_name</t>
  </si>
  <si>
    <t>data_web_anchor</t>
  </si>
  <si>
    <t>earliest_year</t>
  </si>
  <si>
    <t>latest_year</t>
  </si>
  <si>
    <t>format</t>
  </si>
  <si>
    <t>update_frequency</t>
  </si>
  <si>
    <t>coverage</t>
  </si>
  <si>
    <t>geographical_level</t>
  </si>
  <si>
    <t>geog_level2</t>
  </si>
  <si>
    <t>access_level</t>
  </si>
  <si>
    <t>licence</t>
  </si>
  <si>
    <t>ki_publictransportaccessibility</t>
  </si>
  <si>
    <t>ki_coveragebycyclingfacilities</t>
  </si>
  <si>
    <t>ki_coverageofthedrainagesystem</t>
  </si>
  <si>
    <t>ki_parkingmanagement</t>
  </si>
  <si>
    <t>ki_reductionofprivatevehicles</t>
  </si>
  <si>
    <t>ki_declineinaccidents</t>
  </si>
  <si>
    <t>ki_walkingandcycling</t>
  </si>
  <si>
    <t>ki_publictransportridership</t>
  </si>
  <si>
    <t>ki_lastmileuseofintermediatepublictransport</t>
  </si>
  <si>
    <t>ki_walkability</t>
  </si>
  <si>
    <t>ki_supplyofpublictransportvehicles</t>
  </si>
  <si>
    <t>ki_xnokpi</t>
  </si>
  <si>
    <t>ki_localtrafficflow</t>
  </si>
  <si>
    <t>ki_organisedroaduse</t>
  </si>
  <si>
    <t>ki_traineddrivers</t>
  </si>
  <si>
    <t>ki_transportrelatedinvestment</t>
  </si>
  <si>
    <t>ki_motorvehicletrafficreduction</t>
  </si>
  <si>
    <t>kd_publictransportsupply</t>
  </si>
  <si>
    <t>kd_safetyandcomfort</t>
  </si>
  <si>
    <t>kd_effectiveenforcement</t>
  </si>
  <si>
    <t>kd_xnokpidom</t>
  </si>
  <si>
    <t>kd_sustainablemobility</t>
  </si>
  <si>
    <t>kd_inclusivemobility</t>
  </si>
  <si>
    <t>kd_healthandsafety</t>
  </si>
  <si>
    <t>kd_sustainabletransportfunding</t>
  </si>
  <si>
    <t>format2</t>
  </si>
  <si>
    <t>editable</t>
  </si>
  <si>
    <t>update_freq2</t>
  </si>
  <si>
    <t>Administrative Context</t>
  </si>
  <si>
    <t>Villages In Jaipur Region</t>
  </si>
  <si>
    <t>This dataset provides names of villages in Jaipur Region.</t>
  </si>
  <si>
    <t>Villages, Jaipur Region,</t>
  </si>
  <si>
    <t>yes</t>
  </si>
  <si>
    <t>JDA (2011) Master Development Plan 2025, vol1</t>
  </si>
  <si>
    <t>Heading 2.8, map on pg no. 109</t>
  </si>
  <si>
    <t>JDA</t>
  </si>
  <si>
    <t>https://jda.rajasthan.gov.in/content/dam/raj/udh/development-authority/jda-jaipur/pdf/MDP/Vol1.pdf</t>
  </si>
  <si>
    <t>public transport supply</t>
  </si>
  <si>
    <t>Public transport accessibility</t>
  </si>
  <si>
    <t>printed map</t>
  </si>
  <si>
    <t>Jaipur District</t>
  </si>
  <si>
    <t>district level</t>
  </si>
  <si>
    <t>district</t>
  </si>
  <si>
    <t>open</t>
  </si>
  <si>
    <t>not known</t>
  </si>
  <si>
    <t>unknown</t>
  </si>
  <si>
    <t>Gram Panchayat Of Jaipur Region</t>
  </si>
  <si>
    <t>This dataset provides boundaries for Gram Panchayats in Jaipur Region.</t>
  </si>
  <si>
    <t>Gram panchayat, boundaries, Jaipur Region</t>
  </si>
  <si>
    <t>Map 3-3, pg. 131</t>
  </si>
  <si>
    <t>Jaipur Urban Area (2018)</t>
  </si>
  <si>
    <t>regional level</t>
  </si>
  <si>
    <t>region</t>
  </si>
  <si>
    <t>Evolution Of Jaipur Urban Extent</t>
  </si>
  <si>
    <t>This dataset provides the information The growth of Jaipur's urban area over time</t>
  </si>
  <si>
    <t>Growth, Urban Area, Jaipur</t>
  </si>
  <si>
    <t>L&amp;T Infra Engineering (2022) Comprehensive Traffic and Transportation Study for Jaipur Region, vol1</t>
  </si>
  <si>
    <t>Figure 6-1, Pg 6-2</t>
  </si>
  <si>
    <t>Document not yet published</t>
  </si>
  <si>
    <t>map image</t>
  </si>
  <si>
    <t>City level</t>
  </si>
  <si>
    <t>private</t>
  </si>
  <si>
    <t>Zones And Wards In Jaipur</t>
  </si>
  <si>
    <t>This dataset provides boundaries for zones and wards in Jaipur (as per census 2001)</t>
  </si>
  <si>
    <t>Boundaries, Zones &amp; Wards, Census 2001</t>
  </si>
  <si>
    <t>Map 3-2, pg. 130</t>
  </si>
  <si>
    <t>public transport supply, safety and comfort, effective enforcement</t>
  </si>
  <si>
    <t>List Of Existing Towns With Present Population, Future Population And Their Class By 2025</t>
  </si>
  <si>
    <t>List of existing town with present population, future population and their class by 2025 should be used with Map 2-45 Optimum Connectivity of future towns.</t>
  </si>
  <si>
    <t>Existing Towns, Population (Present and Future), Optimum Connectivity</t>
  </si>
  <si>
    <t>Table 2-39, pg. 121</t>
  </si>
  <si>
    <t>Supply of public transport vehicles</t>
  </si>
  <si>
    <t>printed table</t>
  </si>
  <si>
    <t>Population Density Map Of Jaipur Region</t>
  </si>
  <si>
    <t>This dataset provides population density for Jaipur Region.</t>
  </si>
  <si>
    <t>Population density, Jaipur Region</t>
  </si>
  <si>
    <t>Figure 2-8, pg.2-12</t>
  </si>
  <si>
    <t>Population Density Of Jmc And Satellite Towns</t>
  </si>
  <si>
    <t>This dataset provides population density of JMC and Satellite Towns.</t>
  </si>
  <si>
    <t>Population density, JMC, Sattelite towns</t>
  </si>
  <si>
    <t>Figure 2-6, pg. 2-10</t>
  </si>
  <si>
    <t xml:space="preserve">Jaipur Region </t>
  </si>
  <si>
    <t>Ward Wise Population Density Of Jmc</t>
  </si>
  <si>
    <t>This dataset provides wardwise population density of JMC area.</t>
  </si>
  <si>
    <t>Wardwise Population, JMC area</t>
  </si>
  <si>
    <t>Figure 2-7, pg. 2-11</t>
  </si>
  <si>
    <t>Jaipur Municipal Corporation</t>
  </si>
  <si>
    <t>Zoning Map- Jaipur District</t>
  </si>
  <si>
    <t>The district has been divided into 4 zones, namely, the ecosensitive zone, agriculture dominant zone, urban zone and the rural zone. The map Shows the zoning and growth nodes in the District.</t>
  </si>
  <si>
    <t>Ecosensitive, Agriculture Dominant, Urban, Rural
Zoning and Growth Nodes</t>
  </si>
  <si>
    <t>Map 2-35, pg no. 110</t>
  </si>
  <si>
    <t>Jda Zonal Plan</t>
  </si>
  <si>
    <t>Contains the zonal Plan of JDA region, Jaipur dated 2018</t>
  </si>
  <si>
    <t>Zonal Boundary, JDA</t>
  </si>
  <si>
    <t>JDA (2018) Zonal Development Plan</t>
  </si>
  <si>
    <t>https://jda.rajasthan.gov.in/content/raj/udh/jda---jaipur/en/town-planning/zonal-development-plan.html</t>
  </si>
  <si>
    <t>Jaipur Development Authority (2018)</t>
  </si>
  <si>
    <t>Jda Base Map</t>
  </si>
  <si>
    <t>Contains the base map of JDA region, Jaipur</t>
  </si>
  <si>
    <t>Base Map, JDA</t>
  </si>
  <si>
    <t>JDA (2009) Key Maps</t>
  </si>
  <si>
    <t>https://jda.rajasthan.gov.in/content/raj/udh/jda---jaipur/en/town-planning/key-maps.html</t>
  </si>
  <si>
    <t>public transport supply, effective enforcement</t>
  </si>
  <si>
    <t>Walled City Jaipur</t>
  </si>
  <si>
    <t>Contains the map of Wall City Jaipur</t>
  </si>
  <si>
    <t>Wall city jaipur</t>
  </si>
  <si>
    <t>JDA (1987) Key Maps</t>
  </si>
  <si>
    <t>Jaipur Wall City (1987)</t>
  </si>
  <si>
    <t>Nagar Nigam Jaipur Greater Map</t>
  </si>
  <si>
    <t>Contains the Nagar Nigam Jaipur Greater Map</t>
  </si>
  <si>
    <t>JDA (2011) Key Maps</t>
  </si>
  <si>
    <t>Nagar Nigam Jaipur Greater (2019)</t>
  </si>
  <si>
    <t>Nagar Nigam Jaipur Heritage Map</t>
  </si>
  <si>
    <t>Contains the Nagar Nigam Jaipur Heritage Map</t>
  </si>
  <si>
    <t>Nagar Nigam Jaipur Heritage (2019)</t>
  </si>
  <si>
    <t>Administrative Setup Jaipur</t>
  </si>
  <si>
    <t xml:space="preserve">contains the Name of Panchayat samiti , No. of Gram Panchayat, No. of Villages , Tehsil(s) or (No. of Villages) , and Census Towns
</t>
  </si>
  <si>
    <t>Panchayat Samit, No. of Gram Panchayats, census towns</t>
  </si>
  <si>
    <t>Directorate of Census Operations, Rajasthan (2014) Census of India 2011 - Rajasthan - Series 09 - Part XII B - District Census Handbook, Jaipur</t>
  </si>
  <si>
    <t>pg. 12</t>
  </si>
  <si>
    <t>Directorate of Census Operations, Rajasthan</t>
  </si>
  <si>
    <t>https://censusindia.gov.in/nada/index.php/catalog/1069/download/3290/DH_2011_0812_PART_B_DCHB_JAIPUR.pdf</t>
  </si>
  <si>
    <t>Cadastal Map</t>
  </si>
  <si>
    <t xml:space="preserve">Boundary for individual plots based on ownership. </t>
  </si>
  <si>
    <t>cadastal map</t>
  </si>
  <si>
    <t>Bhunaksha</t>
  </si>
  <si>
    <t>Bhunaksha, rajasthan</t>
  </si>
  <si>
    <t>https://bhunaksha.rajasthan.gov.in/</t>
  </si>
  <si>
    <t>Rajasthan</t>
  </si>
  <si>
    <t>state level</t>
  </si>
  <si>
    <t>state</t>
  </si>
  <si>
    <t>Administrative Boundary Database</t>
  </si>
  <si>
    <t>contains georeferenced Administrative Boundary Database with Entire country Upto Taluk level with HQ, Entire country Upto Distt. level with HQ, State Upto Taluk level with HQ, State Upto Distt. level with HQ  Scale of 1:1M</t>
  </si>
  <si>
    <t>administrative, taluka, georeferenced</t>
  </si>
  <si>
    <t>Survey of India (2024) Online Maps Portal</t>
  </si>
  <si>
    <t>Survey of india</t>
  </si>
  <si>
    <t>https://onlinemaps.surveyofindia.gov.in/Digital_Product_Show.aspx</t>
  </si>
  <si>
    <t>shape file</t>
  </si>
  <si>
    <t>India</t>
  </si>
  <si>
    <t>national level</t>
  </si>
  <si>
    <t>cd block / town</t>
  </si>
  <si>
    <t>shapefile</t>
  </si>
  <si>
    <t>Demographic Profile</t>
  </si>
  <si>
    <t>Major Settlements Within The Jaipur Region</t>
  </si>
  <si>
    <t>This dataset provides satellite towns located under JDA region, their classification and population based on Census 2001.</t>
  </si>
  <si>
    <t>Satellite Towns, JDA Region, Census 2001</t>
  </si>
  <si>
    <t>Table 3-2, pg. 133</t>
  </si>
  <si>
    <t>Jaipur Region</t>
  </si>
  <si>
    <t>Gross Density Within Wards Of Jaipur Region- Census 2001</t>
  </si>
  <si>
    <t>This dataset provides gross density within wards of Jaipur Region for 2001.</t>
  </si>
  <si>
    <t>Gross Density, Wards, Jaipur Region 2001</t>
  </si>
  <si>
    <t>Map 4-5, pg.219</t>
  </si>
  <si>
    <t>Jaipur Municipal Corporation Greater (2019)</t>
  </si>
  <si>
    <t>Existing Gross Density Within Wards Of Jaipur Region (2011*)</t>
  </si>
  <si>
    <t xml:space="preserve">This datset provides gross density within wards of Jaipur for 2011. </t>
  </si>
  <si>
    <t>Gross Density, Wards, Jaipur 2011</t>
  </si>
  <si>
    <t>Map 4-6, pg. 219</t>
  </si>
  <si>
    <t>Past Trends Of Population In Jaipur Region</t>
  </si>
  <si>
    <t>This dataset shows the Past Trends of Population in JMC and Satellite Towns</t>
  </si>
  <si>
    <t>Past Trends, Population, JMC, Satellite Towns</t>
  </si>
  <si>
    <t>Table 6-3, pg 6-6</t>
  </si>
  <si>
    <t>JMC+Satellite towns</t>
  </si>
  <si>
    <t>jmc+satellite towns</t>
  </si>
  <si>
    <t>city</t>
  </si>
  <si>
    <t>Decadal Growth Rate In Jaipur Region</t>
  </si>
  <si>
    <t>This dataset shows the decadal population growth rate in JMC and Sattelite towns</t>
  </si>
  <si>
    <t>Decadal Growth Rate, Population, JMC, Satellite Towns</t>
  </si>
  <si>
    <t>Table 6-5 pg 6-7</t>
  </si>
  <si>
    <t>Age-Wise Population And Sex Distribution</t>
  </si>
  <si>
    <t>contains age groups,male and female distribution</t>
  </si>
  <si>
    <t>Age Groups, Gender Distribution</t>
  </si>
  <si>
    <t>Table 2-9, pg.56</t>
  </si>
  <si>
    <t>Decadal Sex Ratio Of Jaipur District</t>
  </si>
  <si>
    <t>contains sex ratio of Jaipur district(1961-2001)</t>
  </si>
  <si>
    <t>sex ratio, Jaipur district</t>
  </si>
  <si>
    <t>Table 2-10, pg. 56</t>
  </si>
  <si>
    <t>Registered Voters</t>
  </si>
  <si>
    <t>contains jaipur city zone name, wardname, ward no., Total no. of registered voters, No. of votes polled in the last municipal election, No. of Polling Stations / booths</t>
  </si>
  <si>
    <t>voters</t>
  </si>
  <si>
    <t>Ministry of housing and urban affairs,smart city data catalogue</t>
  </si>
  <si>
    <t>CDO- Ajay Kumar, Jaipur Nagar Nigam</t>
  </si>
  <si>
    <t>https://smartcities.data.gov.in/catalog/registered-voters-jaipur</t>
  </si>
  <si>
    <t>csv</t>
  </si>
  <si>
    <t>Jaipur City</t>
  </si>
  <si>
    <t>city level</t>
  </si>
  <si>
    <t>ward</t>
  </si>
  <si>
    <t>Population And Households</t>
  </si>
  <si>
    <t>contains jaipur city zone name, wardname, ward no., Area (in sq km), Total Population (in thousands)</t>
  </si>
  <si>
    <t>population, households</t>
  </si>
  <si>
    <t>https://smartcities.data.gov.in/catalog/demographic-profile-jaipur</t>
  </si>
  <si>
    <t>Demographic and Socio-Economic District Profile</t>
  </si>
  <si>
    <t xml:space="preserve">contains the summary of the census of jaipur district like Number of Villages,Number of Towns ,  Number of Households, Population , Percentage Urban Population, Decadal Population Growth 2001-2011 , Area (in sq Km.), Density of Population (Persons per sq Km.), Sex Ratio , Literates , Scheduled Castes, Scheduled Tribes, Workers and Non-Workers, and Category of Workers (Main &amp; Marginal), </t>
  </si>
  <si>
    <t>Census data, Population Statistics, Urban and Rural Distribution, Demographic Information, Socio-Economic Indicators</t>
  </si>
  <si>
    <t>pg. 14-15</t>
  </si>
  <si>
    <t>Socio-economic Characteristics</t>
  </si>
  <si>
    <t>contains the Location code number, District/ CD Block/Town, Total/Rural/Urban, Area in Square Kilometre, Number of households, Total population (including institutional and houseless population in persons,male,female), Population in the age-group 0-6, Scheduled Castes population, Scheduled Tribes population,and Literates</t>
  </si>
  <si>
    <t>age, sex, literacy, workforce, occupation, employment, industry</t>
  </si>
  <si>
    <t>pg. 24-25, pg. 30-31</t>
  </si>
  <si>
    <t>Socio-economic Characteristics- industrial category of main workers</t>
  </si>
  <si>
    <t>contains the Location code number, District/ CD Block/Town, Total/Rural/Urban for Total workers (Persons, Males, Females), Main worker(Persons, Males, Females), Cultivators, Agricultural labourers, Household industry workers, Other workers</t>
  </si>
  <si>
    <t>pg. 26-27, pg. 32-33</t>
  </si>
  <si>
    <t>Socio-economic Characteristics- industrial category of marginal workers</t>
  </si>
  <si>
    <t>contains the Location code number, District/ CD Block/Town, Total/Rural/Urban for Marginal workers(Persons, Males, Females), Cultivators, Agricultural labourers, Household industry workers, Other workers, and Non-workers.</t>
  </si>
  <si>
    <t>pg. 28-29, pg. 34-35</t>
  </si>
  <si>
    <t>Total Sc And St Population - Urban Block Wise</t>
  </si>
  <si>
    <t>contains the Location Code, Name of Town, Name of Ward, Boundaries of Urban Block /EB Number, Total Population, Scheduled Castes Population, Scheduled Tribes Population</t>
  </si>
  <si>
    <t>Urban Block Boundaries, Town and Ward Data, Population Statistics, Scheduled Castes and Tribes, Location Code Information</t>
  </si>
  <si>
    <t>pg. 38-189</t>
  </si>
  <si>
    <t>Urban Pca-Ward Wise Data</t>
  </si>
  <si>
    <t>contains the Location code number, Name of Town/ward, Area in Km,Number of households, Total population (including institutional and houseless population), Population in the age-group 0-6, Literates,SC population, ST population, literates</t>
  </si>
  <si>
    <t>Town/Ward Statistics, Population, Area, SC/ST Demographics</t>
  </si>
  <si>
    <t>pg.540-551</t>
  </si>
  <si>
    <t>Decadal Change In Population Of Tahsils By Residence, 2001-2011</t>
  </si>
  <si>
    <t>contains the Tahsil, Population (2001 and 2011), Percentage decadal variation 2001-2011,  Percentage urban population</t>
  </si>
  <si>
    <t>Population change, tehsils data</t>
  </si>
  <si>
    <t>T01_0812</t>
  </si>
  <si>
    <t>https://censusindia.gov.in/nada/index.php/catalog/1069/download/3291/DH_2011_0812-Jaipur.zip</t>
  </si>
  <si>
    <t>xls</t>
  </si>
  <si>
    <t>xls/xlsx</t>
  </si>
  <si>
    <t>sex ratio</t>
  </si>
  <si>
    <t>contains the Sex ratio of towns, 2011</t>
  </si>
  <si>
    <t>gender, sex, sex ratio</t>
  </si>
  <si>
    <t>T08_0812</t>
  </si>
  <si>
    <t>sex ratio of ages 0-6</t>
  </si>
  <si>
    <t>contains the Sex ratio of  population in the age group 0-6 of towns, 2011</t>
  </si>
  <si>
    <t>T12_0812</t>
  </si>
  <si>
    <t>safety and comfort</t>
  </si>
  <si>
    <t>Trained drivers</t>
  </si>
  <si>
    <t>Number And Percentage Of Scheduled Castes And Scheduled Tribes Population In Sub-Districts, 2011</t>
  </si>
  <si>
    <t>contains the Name of Sub-District, Total/ Rural/ Urban, Total population, Total scheduled castes population, Total scheduled tribes population, Percentage of scheduled castes population to total population, Percentage of scheduled tribes population to total population</t>
  </si>
  <si>
    <t>Scheduled Castes/tribes, Sub-district Demographics</t>
  </si>
  <si>
    <t>T13_0812</t>
  </si>
  <si>
    <t>Number And Percentage Of Scheduled Castes And Scheduled Tribes Population In Towns, 2011</t>
  </si>
  <si>
    <t>contains the Name of town, Total Population, Total scheduled castes population, Total scheduled tribes population, Percentage of scheduled castes population to total population, Percentage of scheduled tribes population to total population</t>
  </si>
  <si>
    <t>Town Caste, Tribe Population, Urban Demographics</t>
  </si>
  <si>
    <t>T17_0812</t>
  </si>
  <si>
    <t>sex ratio among scheduled castes and tribes</t>
  </si>
  <si>
    <t>contains the Name of town, Scheduled castes sex ratio, Scheduled tribes sex ratio</t>
  </si>
  <si>
    <t>T19_0812</t>
  </si>
  <si>
    <t>Literacy, Total And By Sex Or Scheduled Caste</t>
  </si>
  <si>
    <t xml:space="preserve">contains the Name  of town, Number of literates and illiterates, Literacy rate and Gap in male-female literacy rate </t>
  </si>
  <si>
    <t>literacy, gender, sex, caste</t>
  </si>
  <si>
    <t>T23_0812</t>
  </si>
  <si>
    <t>Main, marginal and non-workers by sex</t>
  </si>
  <si>
    <t>contains the Name of  town, Persons/ Males/ Females, Total population, Main workers, Marginal workers and Non workers (Number &amp; Percentage)</t>
  </si>
  <si>
    <t>workers, gender, sex</t>
  </si>
  <si>
    <t>T32_0812</t>
  </si>
  <si>
    <t>Economic activity by sex</t>
  </si>
  <si>
    <t>contains the Name of town, Persons/ Males/ Females, Total population, Total workers (main + marginal workers), Category of workers: Cultivators, Agricultural labourers, Household industry workers, Other workers in Number &amp; Percentage</t>
  </si>
  <si>
    <t>economic activity, gender, sex</t>
  </si>
  <si>
    <t>T35_0812</t>
  </si>
  <si>
    <t>Schools/ Colleges Per 10,000 Population In Towns, 2011</t>
  </si>
  <si>
    <t>contains the Name of the town, Type of educational institution (Approx. numbers) of Primary, Middle, Secondary / matriculation, Senior secondary, and College</t>
  </si>
  <si>
    <t>Town Educational Institutions, School and College Distribution</t>
  </si>
  <si>
    <t>T42_0812</t>
  </si>
  <si>
    <t>Proportion Of Slum Population In Towns, 2011</t>
  </si>
  <si>
    <t>contains the Name of the town having slum, Total population , Slum population, Percentage of slum population to total population</t>
  </si>
  <si>
    <t>Town Slum Statistics, Slum Population Percentage</t>
  </si>
  <si>
    <t>T44_0812</t>
  </si>
  <si>
    <t>Status And Growth History Of Towns In Jaipur</t>
  </si>
  <si>
    <t>contains the Class, name and civic status of town, Location Code No., Name of Taluk/ Tahsil/ Police Station/Islands etc., Name of CD block, Area(sq. Km.), Number of households including houseless households (2011 Census), Scheduled Castes Population (2011 Census), Scheduled Tribes Population (2011 Census), Status and Growth History(1901-2011), Density        (2011 Census) and Sex ratio</t>
  </si>
  <si>
    <t>Town Demographic, Census and Civic Information</t>
  </si>
  <si>
    <t>Town Statement-I_0812</t>
  </si>
  <si>
    <t>Economy</t>
  </si>
  <si>
    <t>Occupational Structure</t>
  </si>
  <si>
    <t>contains  Derived occupational structure from Primary Census Abstract, Census of India, 2001_x000D_</t>
  </si>
  <si>
    <t xml:space="preserve">Occupational Structure
</t>
  </si>
  <si>
    <t>Table 2-12, pg.59</t>
  </si>
  <si>
    <t>Workers Profile</t>
  </si>
  <si>
    <t>contains Work Force Participation Rate, Jaipur District, 2001</t>
  </si>
  <si>
    <t>Work force, Jaipur district</t>
  </si>
  <si>
    <t>Table 2-13, Table 2-14, Table 2-15, pg.60-61</t>
  </si>
  <si>
    <t>Market Economies</t>
  </si>
  <si>
    <t>contains Annual Income (Rs. in lacs) Main Market /Sub Market from 1999-2000 to 2006-07- Jaipur region</t>
  </si>
  <si>
    <t>Annual Income, Main Market/Sub Market, Jaipur Region</t>
  </si>
  <si>
    <t>Table 3-10, pg.148</t>
  </si>
  <si>
    <t>Office, Krishi Upaj Mandi, Jaipur.</t>
  </si>
  <si>
    <t>Socio-Economic Potential</t>
  </si>
  <si>
    <t xml:space="preserve">A socio economic potential map has been arrived at based upon the economic and facility &amp; service potential in the villages. 
</t>
  </si>
  <si>
    <t>Economic facility</t>
  </si>
  <si>
    <t>Map 2-17 (pg. 69)</t>
  </si>
  <si>
    <t>Proposed Tourism Circuits In The Jaipur District</t>
  </si>
  <si>
    <t xml:space="preserve">This dataset contains proposed tourism circuits in Jaipur District </t>
  </si>
  <si>
    <t>Tourism, Jaipur district</t>
  </si>
  <si>
    <t>Map 2-36 , pg. 112</t>
  </si>
  <si>
    <t>Industrial Areas Of Riico In Jaipur Region</t>
  </si>
  <si>
    <t>Map indicating RIICO industrial zones in Jaipur Region.</t>
  </si>
  <si>
    <t>RIICO, Jaipure region</t>
  </si>
  <si>
    <t>Map 3-4, pg. 143</t>
  </si>
  <si>
    <t>Tourist Arrivals</t>
  </si>
  <si>
    <t>Location-wise Tourist Arrival Statistics (in million)</t>
  </si>
  <si>
    <t>Tourist  Statistics, Location-wise</t>
  </si>
  <si>
    <t>Table 2-11, p.g 2-25</t>
  </si>
  <si>
    <t>Office of statistics, Department of Tourism, Rajasthan</t>
  </si>
  <si>
    <t>Environment</t>
  </si>
  <si>
    <t>Physical Aspects And Location Of Towns, 2009</t>
  </si>
  <si>
    <t>contains the Name of town, Physical aspects(Rainfall &amp; Temperature), Name of and road distance (in kms.) from (State HQ, District HQ, Sub-Division/ Taluk/ Tahsil / Police station/ Development  Block/ Island HQ, Nearest city with population of one lakh and more, Nearest city with population of five lakh and more) Railway station and Bus route</t>
  </si>
  <si>
    <t>Transport Information, Town Connectivity, Climate</t>
  </si>
  <si>
    <t>Town Statement-II_0812</t>
  </si>
  <si>
    <t>Air Quality Index (Caaqms)</t>
  </si>
  <si>
    <t>This dataset provides the Levels of PM2.5, PM10, NO2, CO, O3</t>
  </si>
  <si>
    <t>Air Quality Index, CAAQMS, PM2.5, PM10, NO2, CO, O3</t>
  </si>
  <si>
    <t>Rajasthan State Pollution Control Board (2024)</t>
  </si>
  <si>
    <t>RSPCB</t>
  </si>
  <si>
    <t>https://environment.rajasthan.gov.in/content/environment/en/rajasthan-state-pollution-control-board/EnvironmentalReport/DownloadableAirQualityIndexCAAQMS.html</t>
  </si>
  <si>
    <t>sustainable mobility</t>
  </si>
  <si>
    <t>xlsx</t>
  </si>
  <si>
    <t>Every Year</t>
  </si>
  <si>
    <t>CAAQMS Station</t>
  </si>
  <si>
    <t>caaqms station</t>
  </si>
  <si>
    <t>discrete locations</t>
  </si>
  <si>
    <t>Noise Quality Bulletin Of Rajasthan State</t>
  </si>
  <si>
    <t>This dataset provides the Decibel levels in different zones</t>
  </si>
  <si>
    <t>Noise quality, Rajasthan, decibel levels</t>
  </si>
  <si>
    <t>https://environment.rajasthan.gov.in/content/environment/en/rajasthan-state-pollution-control-board/NoiseQualityBulletin.html</t>
  </si>
  <si>
    <t>Every Month</t>
  </si>
  <si>
    <t>stations</t>
  </si>
  <si>
    <t>Air Quality (Cpcb)</t>
  </si>
  <si>
    <t>This dataset provides PM2.5,PM10,NO,NO2,NOx, NH3,SO2, CO, Ozone,Benzene, Toluene, Xylene, O Xylene, Eth-Benzene, MP-Xylene, AT, RH,WS,WD,RF,TOT-RF, SR,BP, VWS for 1day,8hours, 1 hour and 15min time stamps</t>
  </si>
  <si>
    <t>Air quality, CPCB, PM2.5, PM10, NO2, CO, O3</t>
  </si>
  <si>
    <t>Cental Pollution Control Board (2024) Central Control Room for Air Quality Management</t>
  </si>
  <si>
    <t>CPCB</t>
  </si>
  <si>
    <t>https://airquality.cpcb.gov.in/ccr/#/caaqm-dashboard-all/caaqm-landing/caaqm-data-repository</t>
  </si>
  <si>
    <t>Every 15 min</t>
  </si>
  <si>
    <t>points</t>
  </si>
  <si>
    <t>Natural Landscape Jaipur</t>
  </si>
  <si>
    <t>This catalog contains area of natural features like lake,forest,ecologically sensitve area of JDA region</t>
  </si>
  <si>
    <t>Natural Feature, JDA region</t>
  </si>
  <si>
    <t>JSCL (2019) Ministry of housing and urban affairs,smart city data catalogue</t>
  </si>
  <si>
    <t>https://smartcities.data.gov.in/catalog/natural-landscape-jaipur</t>
  </si>
  <si>
    <t>Climate Outlook Of Jaipur City</t>
  </si>
  <si>
    <t>This dataset provides the Climatic details like Temperature and Rainfall statistics of Jaipur City.</t>
  </si>
  <si>
    <t>Climate, Temperature, Rainfall</t>
  </si>
  <si>
    <t>Table 3-25, pg.191</t>
  </si>
  <si>
    <t>Open Series Map (Scale: 1:50000)</t>
  </si>
  <si>
    <t>contains open series map image in Scale: 1:50000 based on sheet no. (not georeferenced)</t>
  </si>
  <si>
    <t>open series, map</t>
  </si>
  <si>
    <t>https://onlinemaps.surveyofindia.gov.in/FreeMapSpecification.aspx</t>
  </si>
  <si>
    <t>spatial grid</t>
  </si>
  <si>
    <t>Intermediate Public Transport</t>
  </si>
  <si>
    <t>Intermediate Public Transport Facilities</t>
  </si>
  <si>
    <t>This dataset shows the Issues with IPT Facilities</t>
  </si>
  <si>
    <t>IPT</t>
  </si>
  <si>
    <t>Figure 3-14 pg 3-52</t>
  </si>
  <si>
    <t>inclusive mobility</t>
  </si>
  <si>
    <t>Last-mile use of intermediate public transport</t>
  </si>
  <si>
    <t>pie chart</t>
  </si>
  <si>
    <t>chart</t>
  </si>
  <si>
    <t>Land Use</t>
  </si>
  <si>
    <t>Land Utilization Of Jaipur District</t>
  </si>
  <si>
    <t>This dataset provides the land utilization of different landuse for Jaipur District</t>
  </si>
  <si>
    <t>Land Utilization, Land Use, Jaipur District</t>
  </si>
  <si>
    <t>Table 2-5, Chart 2-1, pg.48</t>
  </si>
  <si>
    <t>printed table, pie chart</t>
  </si>
  <si>
    <t>Base Map</t>
  </si>
  <si>
    <t>This dataset provides information about Region Boundary, Contour, Railways, National Highway, State Highway, City Road-Major, City Road-Minor, Unmetalled roads, River Course/Nallah/Waterbody, Walled City</t>
  </si>
  <si>
    <t>Region Boundary, Infrastructure , Geographical Features, walled city</t>
  </si>
  <si>
    <t>JDA (2011) Master Development Plan 2025, website</t>
  </si>
  <si>
    <t>Mapbook 1</t>
  </si>
  <si>
    <t>https://jda.rajasthan.gov.in/content/dam/raj/udh/development-authority/jda-jaipur/pdf/MDP/Mapbook1.pdf</t>
  </si>
  <si>
    <t>pdf</t>
  </si>
  <si>
    <t>vector map</t>
  </si>
  <si>
    <t>Generalised Existing Land Use Map</t>
  </si>
  <si>
    <t>This dataset provides the generalised existing land use for Jaipur U1 Area.</t>
  </si>
  <si>
    <t>Existing Land Use, Jaipur, U1 Area</t>
  </si>
  <si>
    <t>Mapbook 2</t>
  </si>
  <si>
    <t>https://jda.rajasthan.gov.in/content/dam/raj/udh/development-authority/jda-jaipur/pdf/MDP/Mapbook2.pdf</t>
  </si>
  <si>
    <t>Land Utilization Map</t>
  </si>
  <si>
    <t>This dataset provides the Land Utilization of Jaipur Region</t>
  </si>
  <si>
    <t>Land Utilization, Land Use, Jaipur Region</t>
  </si>
  <si>
    <t>Mapbook 3</t>
  </si>
  <si>
    <t>https://jda.rajasthan.gov.in/content/dam/raj/udh/development-authority/jda-jaipur/pdf/MDP/Mapbook3.pdf</t>
  </si>
  <si>
    <t>Land Use Plan</t>
  </si>
  <si>
    <t>This dataset provides the proposed land use plan 2025 for Jaipur U1 Area.</t>
  </si>
  <si>
    <t>Proposed land use, U1 area</t>
  </si>
  <si>
    <t>Mapbook 4</t>
  </si>
  <si>
    <t>https://jda.rajasthan.gov.in/content/dam/raj/udh/development-authority/jda-jaipur/pdf/MDP/Mapbook4.pdf</t>
  </si>
  <si>
    <t>Private Vehicles</t>
  </si>
  <si>
    <t>No. Of Households Having Bicycle</t>
  </si>
  <si>
    <t>This data contains no. and % of households having bicycle.</t>
  </si>
  <si>
    <t>Bicycle</t>
  </si>
  <si>
    <t>Table -9, pg-569</t>
  </si>
  <si>
    <t>https://censusindia.gov.in/nada/index.php/catalog/1069</t>
  </si>
  <si>
    <t>Walking and cycling</t>
  </si>
  <si>
    <t>No. Of Households Having Scooter/Motorcycle/Moped</t>
  </si>
  <si>
    <t>This data contains no. and % of households havingScooter/Motorcycle/Moped.</t>
  </si>
  <si>
    <t>Scooter, motorcycle, Moped</t>
  </si>
  <si>
    <t>Reduction of private vehicles</t>
  </si>
  <si>
    <t>No. Of Households Having Car/Jeep/Van</t>
  </si>
  <si>
    <t>This data contains no. and % of households having Car/Jeep/Van.</t>
  </si>
  <si>
    <t>car, Jeep, Van</t>
  </si>
  <si>
    <t>Vehicle Registrations Data Jaipur</t>
  </si>
  <si>
    <t>This catalog contains the city name, the no. of registrations of buses, four-wheelers, two-wheelers, Goods Carrier Vehicles, Light Motor Vehicles, and miscellaneous others</t>
  </si>
  <si>
    <t>vehicle registration, jaipur</t>
  </si>
  <si>
    <t>https://smartcities.data.gov.in/catalog/vehicle-registrations-data-jaipur</t>
  </si>
  <si>
    <t>Vehicle Ownership Information</t>
  </si>
  <si>
    <t>This dataset shows Details of Vehicle Ownership in JMC and JDA</t>
  </si>
  <si>
    <t>Vehicle ownership, JMC, JDA</t>
  </si>
  <si>
    <t>Figure 3-8 pg 3-34</t>
  </si>
  <si>
    <t>Registration Of Vehicles In Jaipur District</t>
  </si>
  <si>
    <t>contains dataset of Registration of Vehicles in Jaipur District in yearly basis from 1990-2007</t>
  </si>
  <si>
    <t>Vehicle Registration, Jaipur District</t>
  </si>
  <si>
    <t>Master Development Plan 2025 (2011), vol1</t>
  </si>
  <si>
    <t>Table 2-30, pg. 94</t>
  </si>
  <si>
    <t>Transport Department, Govt. of Rajasthan</t>
  </si>
  <si>
    <t>Total Number Of Vehicles Registered</t>
  </si>
  <si>
    <t>This dataset provides a comprehensive overview of the number of registered vehicles in Jaipur from 2010-11 to 2020-21, categorized by different types of vehicles.</t>
  </si>
  <si>
    <t>Registered vehicles, overview</t>
  </si>
  <si>
    <t>Transport Department, Government of Rajasthan (2020-21) STATISTICAL YEAR BOOK</t>
  </si>
  <si>
    <t>Table 5.5, Table 5.6</t>
  </si>
  <si>
    <t>RTO, Jaipur</t>
  </si>
  <si>
    <t>https://transport.rajasthan.gov.in/content/dam/transport/transport-dept/pdf/Statistical%20abstract%202020-21/Transport_Dept_Year_Book.pdf</t>
  </si>
  <si>
    <t>Public Finance</t>
  </si>
  <si>
    <t>Water Tax: Jaipur</t>
  </si>
  <si>
    <t>This catalog contains yearly data of water tax on commercial and residential (2013 to 2018)</t>
  </si>
  <si>
    <t>Water tax, commercial, residential</t>
  </si>
  <si>
    <t>https://smartcities.data.gov.in/catalog/water-taxjaipur</t>
  </si>
  <si>
    <t>city level- water supply</t>
  </si>
  <si>
    <t>Financial Health : Jaipur</t>
  </si>
  <si>
    <t>Expenditure, revenue, municipal area, yearly</t>
  </si>
  <si>
    <t>https://smartcities.data.gov.in/catalog/financial-health-jaipur</t>
  </si>
  <si>
    <t>sustainable transport funding</t>
  </si>
  <si>
    <t>Transport-related investment</t>
  </si>
  <si>
    <t>Budget For Open Spaces Development For Jaipur</t>
  </si>
  <si>
    <t>Municipal budget</t>
  </si>
  <si>
    <t>https://smartcities.data.gov.in/catalog/budget-open-spaces-development-jaipur</t>
  </si>
  <si>
    <t>Vat &amp; Gst Collection For Jaipur</t>
  </si>
  <si>
    <t>VAT/GST Collection</t>
  </si>
  <si>
    <t>https://smartcities.data.gov.in/catalog/vat-gst-collection-jaipur</t>
  </si>
  <si>
    <t>Public Safety &amp; Health</t>
  </si>
  <si>
    <t>Trauma Centres Of Rajasthan</t>
  </si>
  <si>
    <t>This dataset contains the district, trauma centre location, ambulance availability, vehicle no.,and ALS ambulance availability for rajasthan</t>
  </si>
  <si>
    <t>Trauma/Ambulance Data, Emergency Services</t>
  </si>
  <si>
    <t>State Road Safety Cell, Department of Transport and Road Safety, Rajasthan</t>
  </si>
  <si>
    <t>https://roadsafetycell.rkcl.in/pageView/token=d3doM0tvbjVvNmVEbkJRM2YycHVUdz09</t>
  </si>
  <si>
    <t>On Road Crash Scenario Of Rajasthan</t>
  </si>
  <si>
    <t>This dataset contains the summary of road crashes in rajasthan, comparative analysis of road accidents, month wise road accidents,killed and injured, road accident killed and injured according to time,according to road category,percentage share of people killed according to category of road, (summary -2014 to 2023, others -2022 &amp;2023)</t>
  </si>
  <si>
    <t>Road Accident Statistics, Accident Analysis</t>
  </si>
  <si>
    <t>Rajasthan Knowledge Corporation Limited and State Road Safety Cell</t>
  </si>
  <si>
    <t>https://roadsafetycell.rkcl.in/pageView/token=TXFXZzE0R0RxVlppTmlNVi9PSFlOUT09</t>
  </si>
  <si>
    <t>health and safety</t>
  </si>
  <si>
    <t>Decline in accidents</t>
  </si>
  <si>
    <t>printed table, graphs &amp; piechart</t>
  </si>
  <si>
    <t>Black Spots Of Rajasthan</t>
  </si>
  <si>
    <t>This dataset contains the black spots identified by the state in the calender years 2022(2019-2020-2021) in NH and SH in the form of Highway no., location, police station, district, and accident in 3 years</t>
  </si>
  <si>
    <t>Black Spots Data, Highway Accident Records</t>
  </si>
  <si>
    <t>https://roadsafetycell.rkcl.in/pageView/token=UUp2TU8ySXR4SDB0QklrbFN6Q084UT09</t>
  </si>
  <si>
    <t>Fatalities By Road Accidents In Jaipur City</t>
  </si>
  <si>
    <t xml:space="preserve">This dataset provides the number of deaths caused by road accidents in Jaipur City from the year 2010 to 2017. </t>
  </si>
  <si>
    <t>deaths, road accidents, faltalities</t>
  </si>
  <si>
    <t>Cuts International (n.d.) Jaipur City Mobility Plan</t>
  </si>
  <si>
    <t>pg. no 8</t>
  </si>
  <si>
    <t>Jaipur City Mobility Plan</t>
  </si>
  <si>
    <t>printed bar graph</t>
  </si>
  <si>
    <t>Crimes Jaipur</t>
  </si>
  <si>
    <t>This catalog describes the total number of crimes per year in jaipur city</t>
  </si>
  <si>
    <t>criminal history</t>
  </si>
  <si>
    <t>https://smartcities.data.gov.in/catalog/crimes-jaipur</t>
  </si>
  <si>
    <t>Mortality Rate Jaipur</t>
  </si>
  <si>
    <t>This catalog contains data of total birth rate and death rate yearly</t>
  </si>
  <si>
    <t>birth rate, death rate, jaipur</t>
  </si>
  <si>
    <t>https://smartcities.data.gov.in/catalog/mortality-rate-jaipur</t>
  </si>
  <si>
    <t>Injuries And Fatalities</t>
  </si>
  <si>
    <t>Fatalities, injuries, traffic accidents</t>
  </si>
  <si>
    <t>https://smartcities.data.gov.in/catalog/injuries-and-fatalities</t>
  </si>
  <si>
    <t>Security Surveillance</t>
  </si>
  <si>
    <t xml:space="preserve">List of junctions where surveillance cameras are installed_x000D_
</t>
  </si>
  <si>
    <t>Surveillance Cameras</t>
  </si>
  <si>
    <t>no</t>
  </si>
  <si>
    <t>L&amp;T Infra Engineering (2022) Comprehensive Traffic and Transportation Study for Jaipur Region, vol2</t>
  </si>
  <si>
    <t>ANNEXURE - 2-1, pg. 1 of 2-1</t>
  </si>
  <si>
    <t>Traffic Police, Jaipur</t>
  </si>
  <si>
    <t>Motor vehicle traffic reduction</t>
  </si>
  <si>
    <t>Traffic Signals At Junctions</t>
  </si>
  <si>
    <t>List of junctions where traffic signals have been installed in Jaipur city</t>
  </si>
  <si>
    <t>Traffic junctions, junctions</t>
  </si>
  <si>
    <t>ANNEXURE-2-1, pg 1 of 2-1</t>
  </si>
  <si>
    <t>Black Spots</t>
  </si>
  <si>
    <t>Accidents hotspots</t>
  </si>
  <si>
    <t>Fig 2-32 (pg 2-56, CMP 2018)</t>
  </si>
  <si>
    <t>Division-Wise Accidents Reports</t>
  </si>
  <si>
    <t>Accident report</t>
  </si>
  <si>
    <t>Fig 2-31 (pg 2-55, CMP 2018)</t>
  </si>
  <si>
    <t>bar chart</t>
  </si>
  <si>
    <t>Road transportation accidents</t>
  </si>
  <si>
    <t>Road Accidents in Rajasthan, Transport Department, Government of Rajasthan</t>
  </si>
  <si>
    <t>https://www.tourism.rajasthan.gov.in/content/dam/transport/transport-dept/pdf/roadsafty/Road%20Accidents%20in%20Rajasthan%202018.pdf</t>
  </si>
  <si>
    <t>Jaipur district</t>
  </si>
  <si>
    <t>Comparative analysis, road accidents</t>
  </si>
  <si>
    <t>Public Transportation</t>
  </si>
  <si>
    <t>My Safetipin App Audit Score In Jaipur City</t>
  </si>
  <si>
    <t xml:space="preserve">This catalog contains the reportID, safetiPinScore,mediaURL, comments, observationDateTime, location of various locations in Jaipur city </t>
  </si>
  <si>
    <t>Location Data, safety, women</t>
  </si>
  <si>
    <t>Indian urban data exchange (2023) IUDX</t>
  </si>
  <si>
    <t>https://catalogue.cos.iudx.org.in/jaipur/dataset/91e116be-03bd-4f3d-a60b-e9db59bf48f0</t>
  </si>
  <si>
    <t>json</t>
  </si>
  <si>
    <t>Recommended Mass Transit Corridor For Jaipur City With Phasing</t>
  </si>
  <si>
    <t>contains map with population density for the 2nd phase metro of jaipur</t>
  </si>
  <si>
    <t>mass transit, corridor, metro phase 2, density</t>
  </si>
  <si>
    <t>Comprehensive Mobility Plan, Urban Transport Sector Assessment Report jaipur</t>
  </si>
  <si>
    <t>fig 0-2</t>
  </si>
  <si>
    <t>egis rail,egis india, feedback infra</t>
  </si>
  <si>
    <t>https://transport.rajasthan.gov.in/content/dam/transport/metro/Project/DPR%20Phase%20II/CMP%20Executive%20Summary%20Final.pdf</t>
  </si>
  <si>
    <t>Jaipur City Bus Routes Description</t>
  </si>
  <si>
    <t>This dataset contains the street no., route description, number of buses and interval(min) of the operating buses in HIndi</t>
  </si>
  <si>
    <t xml:space="preserve"> street no., route description, number of buses, interval, city bus</t>
  </si>
  <si>
    <t>Jaipur City Transport Services Limited (n.d.)</t>
  </si>
  <si>
    <t>JCTSL</t>
  </si>
  <si>
    <t>https://transport.rajasthan.gov.in/content/transportportal/en/jaipur-bus/schedules-maps/bus-routes.html</t>
  </si>
  <si>
    <t>Public Transport Access Jaipur</t>
  </si>
  <si>
    <t>This dataset contains no. of AC / Non AC buses, No. of bus terminals
,No. of bus stands, No. of bus stops</t>
  </si>
  <si>
    <t>public tranport, access,jaipur</t>
  </si>
  <si>
    <t>https://smartcities.data.gov.in/catalog/publictransportaccessjaipur</t>
  </si>
  <si>
    <t>Details Of Average Ridership (2016-17) On Important Sections Served By Jctsl</t>
  </si>
  <si>
    <t>Details of Average ridership for important sections in year 2016-17.</t>
  </si>
  <si>
    <t>Average ridership</t>
  </si>
  <si>
    <t>Public transport ridership</t>
  </si>
  <si>
    <t>Jaipur Metro Stations</t>
  </si>
  <si>
    <t>contains the finished and proposed map of the number of metro stations and routes in Jaipur City.</t>
  </si>
  <si>
    <t>metro stations, routes, proposed, finished</t>
  </si>
  <si>
    <t>Jaipur Metro Rail Corporation Ltd. (2024)</t>
  </si>
  <si>
    <t>JMRCL</t>
  </si>
  <si>
    <t>https://transport.rajasthan.gov.in/content/transportportal/en/metro/PassengerInformation/MetroStations.html</t>
  </si>
  <si>
    <t>Route Map Of Jaipur Metro</t>
  </si>
  <si>
    <t>This dataset shows Route Map of Jaipur Metro</t>
  </si>
  <si>
    <t>route map, metro, jaipur</t>
  </si>
  <si>
    <t>Bus Route Map2</t>
  </si>
  <si>
    <t>This dataset in Figure 2-26: JCTSL Bus Route Map</t>
  </si>
  <si>
    <t>JCTSL, Bus route, map</t>
  </si>
  <si>
    <t>Figure 2-26, pg. 2-44</t>
  </si>
  <si>
    <t>JMC</t>
  </si>
  <si>
    <t>Bus Route Map1</t>
  </si>
  <si>
    <t>This dataset  in Figure 2-25: JCTSL Bus Route Map</t>
  </si>
  <si>
    <t>Figure 2-25, pg. 2-43</t>
  </si>
  <si>
    <t>Inter City Public Transport</t>
  </si>
  <si>
    <t>This dataset Figure 2-21 vol1 shows inter-city passenger traffic demand</t>
  </si>
  <si>
    <t>inter city, traffic demand, public transport</t>
  </si>
  <si>
    <t>Figure 2-21, pg. 2-35</t>
  </si>
  <si>
    <t>RSRTC, JCTSL</t>
  </si>
  <si>
    <t>Intra City Terminal And Depots</t>
  </si>
  <si>
    <t>This dataset in Figure 2-22: vol1 Map showing various Intra-city (JCTSL) Bus Terminals and Depots</t>
  </si>
  <si>
    <t>intra city, JCTSL, bus terminals, depots, public transport</t>
  </si>
  <si>
    <t>Figure 2-22, pg. 2-38</t>
  </si>
  <si>
    <t>Inter City Terminal And Depots</t>
  </si>
  <si>
    <t>This dataset in Figure 2-23: Map showing various Inter-city (RSRTC) Bus Terminals and Depots</t>
  </si>
  <si>
    <t xml:space="preserve">inter city, RSRTC, nis terminals, depots, </t>
  </si>
  <si>
    <t>Figure 2-23, pg. 2-39</t>
  </si>
  <si>
    <t>RSRTC</t>
  </si>
  <si>
    <t>Public Transport Road Network</t>
  </si>
  <si>
    <t>This dataset shows the Coded Public Transport Network for JDA Region</t>
  </si>
  <si>
    <t>public transport, network, JDA</t>
  </si>
  <si>
    <t xml:space="preserve">yes </t>
  </si>
  <si>
    <t>Figure 6-7 pg 6-15</t>
  </si>
  <si>
    <t>JDA Region</t>
  </si>
  <si>
    <t>This dataset shows the Coded Public Transport Network for JMC</t>
  </si>
  <si>
    <t>public transport, network, JMC</t>
  </si>
  <si>
    <t>Figure 6-8 pg 6-15</t>
  </si>
  <si>
    <t>JMC Boundary</t>
  </si>
  <si>
    <t>Existing Bus Circulation To And From Sindhi Camp Terminal</t>
  </si>
  <si>
    <t>Map showing existing bus routes to and from Sindhi Camp Terminal.</t>
  </si>
  <si>
    <t>Bus route, sindhi camp</t>
  </si>
  <si>
    <t>Figure 7-21, Pg. 7-25</t>
  </si>
  <si>
    <t>Specific location</t>
  </si>
  <si>
    <t>Existing Jctsl Bus Route Coverage</t>
  </si>
  <si>
    <t>Map showing Existing and Proposed JCTSL Bus Route Coverage</t>
  </si>
  <si>
    <t>Bus route JCTSL</t>
  </si>
  <si>
    <t>Figure 7-59, Pg. 7-85</t>
  </si>
  <si>
    <t>Operational Brts Corridors</t>
  </si>
  <si>
    <t xml:space="preserve">Map showing Operational BRTS Corridors 
</t>
  </si>
  <si>
    <t>BRTS Cooridors</t>
  </si>
  <si>
    <t>Figure 7-70, Pg. 7-111</t>
  </si>
  <si>
    <t>Passenger Amenities Near Metro Stations</t>
  </si>
  <si>
    <t>This dataset contains the passenger amenities near metro stations like hospitals, cafe &amp; hotels, police stations and others</t>
  </si>
  <si>
    <t xml:space="preserve">amenities, hospitals, police station, </t>
  </si>
  <si>
    <t>https://transport.rajasthan.gov.in/content/transportportal/en/metro/PassengerInformation/PASSENGERAMENITIESNEARMETROSTATIONS.html</t>
  </si>
  <si>
    <t>Jaipur North Region</t>
  </si>
  <si>
    <t>This dataset contains the number of buses in Jaipur City</t>
  </si>
  <si>
    <t>Buses, Jaipur City</t>
  </si>
  <si>
    <t>https://smartcities.data.gov.in/catalog/buses-jaipur</t>
  </si>
  <si>
    <t>Earnings From Bus Trips Jaipur</t>
  </si>
  <si>
    <t>This dataset contains the earnings from bus trips jaipur</t>
  </si>
  <si>
    <t>Buses, trip income</t>
  </si>
  <si>
    <t>https://smartcities.data.gov.in/catalog/earningsfrombustripsjaipur</t>
  </si>
  <si>
    <t>Type Of Approach To Village And Bus Services In Jaipur Region</t>
  </si>
  <si>
    <t>This dataset provides information about the approaches to the village and bus services.</t>
  </si>
  <si>
    <t>Bus services, villages</t>
  </si>
  <si>
    <t>Map 3-16, pg. 170</t>
  </si>
  <si>
    <t>Details Of Bus Routes And Frequency</t>
  </si>
  <si>
    <t>Contains Bus depot,route, route no., route length, frequency</t>
  </si>
  <si>
    <t>bus routes, frequency</t>
  </si>
  <si>
    <t>Wilbur Smith Associates(2010) Traffic and Transportation Study for Detailed Project Report for Proposed Jaipur Metro</t>
  </si>
  <si>
    <t>ANNEXURE - 2, pg. 113</t>
  </si>
  <si>
    <t>Wilbur smith associates</t>
  </si>
  <si>
    <t>https://www.tourism.rajasthan.gov.in/content/dam/transport/metro/Project/Traffic%20Study%20by%20Wilbur%20Smith%20Associates-2010/Traffic%20and%20Transportation%20Study%20For%20DPR%20For%20Proposed%20Jaipur%20Metro%20Feb%202010.pdf</t>
  </si>
  <si>
    <t>Jaipur City, specific locations</t>
  </si>
  <si>
    <t>Details Of Bus Route Map</t>
  </si>
  <si>
    <t>Contains simplified Bus route along with railway tracks for 01.05.23</t>
  </si>
  <si>
    <t>bus routes</t>
  </si>
  <si>
    <t>https://transport.rajasthan.gov.in/content/dam/transport/jaipurbus/image/Jaipur%20Bus%20Map%20Final_01.05.23.jpg</t>
  </si>
  <si>
    <t>Jaipur Metro Time Table</t>
  </si>
  <si>
    <t>Contains the Salient feaures of public time table w.e.f. 31.01.2023</t>
  </si>
  <si>
    <t>time table</t>
  </si>
  <si>
    <t>Jaipur Metro Rail Corporation Ltd. (2023)</t>
  </si>
  <si>
    <t>https://transport.rajasthan.gov.in/content/dam/transport/metro/Passenger%20Information/Metro%20time%20Table/Salient%20Features%20of%20Time%20Table%20w.e.f.%2030.01.2023.pdf</t>
  </si>
  <si>
    <t>Parking Rate At Metro Station</t>
  </si>
  <si>
    <t>Contains the parking rate at metro station</t>
  </si>
  <si>
    <t>parking rate, metro station</t>
  </si>
  <si>
    <t>https://transport.rajasthan.gov.in/content/transportportal/en/metro/PassengerInformation/ParkingatMetroStations.html</t>
  </si>
  <si>
    <t>effective enforcement</t>
  </si>
  <si>
    <t>Parking management</t>
  </si>
  <si>
    <t>Jaipur Metro Fare Matrix</t>
  </si>
  <si>
    <t>This dataset provides the Fare structure of metro operations by JMRC dated 11.09.2020</t>
  </si>
  <si>
    <t>fare, JMRC</t>
  </si>
  <si>
    <t>Jaipur Metro Rail Corporation Ltd. (2020)</t>
  </si>
  <si>
    <t>https://transport.rajasthan.gov.in/content/dam/transport/metro/Passenger%20Information/MetroFares/Notification%20Fare%20structure%20of%20metro%20operation%20by%20JMRC%20dtd_11.09.2020.pdf.pdf</t>
  </si>
  <si>
    <t>inclusive mobility, sustainable transport funding</t>
  </si>
  <si>
    <t>Jaipur City Bus Fare Matrix</t>
  </si>
  <si>
    <t>This dataset provides the fares for the AC &amp; Non A/C Buses, women and students according to the distances.</t>
  </si>
  <si>
    <t>city bus, jaipur, fare matrix</t>
  </si>
  <si>
    <t>Transport Department Of Rajasthan website</t>
  </si>
  <si>
    <t>https://transport.rajasthan.gov.in/content/transportportal/en/jaipur-bus/fares-tickets/fare-chart.html</t>
  </si>
  <si>
    <t>sustainable transport funding, inclusive mobility</t>
  </si>
  <si>
    <t>Availability Of Bus Services In Jaipur Region</t>
  </si>
  <si>
    <t>The map provides the regional analysis for availability/non-availability of bus services.</t>
  </si>
  <si>
    <t>bus services, regional analysis</t>
  </si>
  <si>
    <t>Map 3-15, pg. 169</t>
  </si>
  <si>
    <t>Existing Bus Terminals In Jaipur City</t>
  </si>
  <si>
    <t xml:space="preserve">Map showing Comparison of Existing and Proposed Terminals 
</t>
  </si>
  <si>
    <t>Terminals</t>
  </si>
  <si>
    <t>Figure 7-52, Pg. 7-77</t>
  </si>
  <si>
    <t>Existing Inter-City And Intra-City Depots</t>
  </si>
  <si>
    <t xml:space="preserve">Map showing Existing and proposed Inter-city and Intra-city Depots 
</t>
  </si>
  <si>
    <t>Depots: inter city, intra city</t>
  </si>
  <si>
    <t>Figure 7-54, Pg. 7-79</t>
  </si>
  <si>
    <t>Resource Use</t>
  </si>
  <si>
    <t>Electricity Consumption Jaipur</t>
  </si>
  <si>
    <t>This catalog contains data about consumption of electricity for domestic, industrial,commerial, public waterworks and street lights, and other consumptions</t>
  </si>
  <si>
    <t>domestic, industrial,commerial, public waterworks, street lights, electricity, energy</t>
  </si>
  <si>
    <t>https://smartcities.data.gov.in/catalog/electricity-consumption-jaipur</t>
  </si>
  <si>
    <t>Water Consumption Jaipur</t>
  </si>
  <si>
    <t>This catalogue contains data for ward wise water supply capacity,domestic water consumption and percentage area of water supply network</t>
  </si>
  <si>
    <t>Water supply, ward wise</t>
  </si>
  <si>
    <t>https://smartcities.data.gov.in/catalog/water-consumption-jaipur</t>
  </si>
  <si>
    <t>Satellite Images</t>
  </si>
  <si>
    <t>Satellite Image Cartosat 1 Pan, Stereo (2.5m Spatial Resolution)</t>
  </si>
  <si>
    <t>contains satellite imagery of 2.5m spatial resolution PAN-Ortho Rectified (without GCP), Stereo- RAD Ortho kit with 27.5kmx27.5km swath width</t>
  </si>
  <si>
    <t>satellite image, CARTOSAT</t>
  </si>
  <si>
    <t>ISRO (2024) Bhoonidhi</t>
  </si>
  <si>
    <t>ISRO</t>
  </si>
  <si>
    <t>https://bhoonidhi.nrsc.gov.in/bhoonidhi/index.html</t>
  </si>
  <si>
    <t>geotiff image</t>
  </si>
  <si>
    <t>4-5 days (temporal resolution)</t>
  </si>
  <si>
    <t>paid</t>
  </si>
  <si>
    <t>4-5 days</t>
  </si>
  <si>
    <t>Satellite Image Cartosat 1 ,Cartodem (2.5m,10m Spatial Resolution)</t>
  </si>
  <si>
    <t>contains satellite imagery of DSM of 10m Posting and 2.5m Posting with swath width 14km x14km  is available</t>
  </si>
  <si>
    <t>Satellite Image Cartosat 2 Pan, (1m Spatial Resolution)</t>
  </si>
  <si>
    <t>contains satellite imagery of GEO Orthokit and Ortho Rectified (without GCP) with swath width of 9.8km x 9.8km is available</t>
  </si>
  <si>
    <t>Satellite Image Cartosat 2s, Pan, (0.60m Spatial Resolution)</t>
  </si>
  <si>
    <t>Satellite Image Cartosat 2s, Mx, (1.60m Spatial Resolution)</t>
  </si>
  <si>
    <t>contains satellite imagery of GEO Orthokit, Ortho Rectified (without GCP),Ortho Mosaic (Min:2, Max : 4 ), and NCC &amp; FCC (Ortho Rectified-without GCP) with swath width of 9.8km x 9.8km is available</t>
  </si>
  <si>
    <t>Satellite Image Cartosat 2s, Pan+Mx, (0.60m Spatial Resolution)</t>
  </si>
  <si>
    <t>contains satellite imagery of Pan-sharpened, Pan-sharpened Mosaic (Min:2, Max:4), and NCC &amp; FCC (Pan-sharpened) with swath width of 9.8km x 9.8km is available</t>
  </si>
  <si>
    <t>Satellite Image Cartosat 3, Pan, (0.28m,0.45m Spatial Resolution)</t>
  </si>
  <si>
    <t>contains satellite imagery of 0.28m- GEO Orthokit, and 0.25m and 0.45m - Ortho Rectified (without GCP) with swath width of 17km x 17 km is available</t>
  </si>
  <si>
    <t>Satellite Image Cartosat 3,Mx (1.10m Spatial Resolution)</t>
  </si>
  <si>
    <t>contains satellite imagery of GEO Orthokit, Ortho Rectified (without GCP) with a swath width of 17km x 17 km and Ortho Rectified (without GCP), NCC &amp; FCC (Ortho Rectified-without GCP) of  swath width of 10km x 10km is available</t>
  </si>
  <si>
    <t>Satellite Image Cartosat 3, Pan+Mx, (0.45m Spatial Resolution)</t>
  </si>
  <si>
    <t>contains satellite imagery of Pan-sharpened and NCC &amp; FCC (Pan-sharpened) with swath width of 10km x 10km is available</t>
  </si>
  <si>
    <t>Satellite Image Risat-1 , [Sar ,Frs1 ,Frs2] (3m-50m Spatial Resolution)</t>
  </si>
  <si>
    <t>contains satellite imagery of Geometrically Terrain Corrected, Single Look Complex, and Multi Look Ground Range  with swath width of 25km x 25km is available</t>
  </si>
  <si>
    <t>25 days (temporal resolution)</t>
  </si>
  <si>
    <t>25 days</t>
  </si>
  <si>
    <t>Satellite Image Eos-04(Or Risat-1a), [Sar ,Frs1 ,Frs2] (3m-50m Spatial Resolution)</t>
  </si>
  <si>
    <t>contains satellite imagery of Geometrically Terrain Corrected, Single Look Complex,Multi Look Ground Range,Covariance, and Polarimetric Decomposed  with swath width of 20km x 25km is available</t>
  </si>
  <si>
    <t>Satellite Image Novasar-1,All Modes (6-33 M Spatial Resolution)</t>
  </si>
  <si>
    <t>contains satellite imagery of Geometrically Terrain Corrected, Single Look Complex Slant range, and Multi Look Ground Range with swath width of 13-400km x 13-400km is available</t>
  </si>
  <si>
    <t>16 days (temporal resolution)</t>
  </si>
  <si>
    <t>16 days</t>
  </si>
  <si>
    <t>Satellite Image Kompsat-3/3a ,Pan &amp; Mx(0.5, 2.2m Spatial Resolution)</t>
  </si>
  <si>
    <t>contains satellite imagery of Geo Orthokit,and Bundled with swath width of 15km x 15km is available</t>
  </si>
  <si>
    <t>3-4 days (temporal resolution)</t>
  </si>
  <si>
    <t>3-4 days</t>
  </si>
  <si>
    <t>Satellite Image Resourcesat-1, Liss-3(23.5m),Liss-4(5.8m),Awifs(56m Spatial Resolution)</t>
  </si>
  <si>
    <t>contains satellite imagery of  LISS-3(23.5m spatial resolution, swath width-141 km),LISS-4{5.8m spatial resolution, swath width -[23.9 km (Mx) 70 kms (Mono)]},AWiFS {56m spatial resolution, swath width-[740 km (Combined) 370 km (Each head)]} is available</t>
  </si>
  <si>
    <t>24 days (temporal resolution)</t>
  </si>
  <si>
    <t>24 days</t>
  </si>
  <si>
    <t>Satellite Image Resourcesat-2, Liss-3(23.5m),Liss-4(5.8m),Awifs(56m Spatial Resolution)</t>
  </si>
  <si>
    <t>Satellite Image Resourcesat-2a, Liss-3(23.5m),Liss-4(5.8m),Awifs(56m Spatial Resolution)</t>
  </si>
  <si>
    <t>Satellite Image Sentinel-2 (10m Spatial Resolution)</t>
  </si>
  <si>
    <t>contains satellite imagery of MSI(visible,NIR-10m,6 bands at 20 m resolution,3 bands at 60 m resolution)</t>
  </si>
  <si>
    <t>Copernicus Browser (2024) Copernicus Browser</t>
  </si>
  <si>
    <t>ESA</t>
  </si>
  <si>
    <t>https://browser.dataspace.copernicus.eu/?zoom=12&amp;lat=27.21685&amp;lng=75.70583&amp;themeId=DEFAULT-THEME&amp;visualizationUrl=U2FsdGVkX19DjWEnO%2ByGm%2Fp%2FJ%2FAPbVIARGIJNH7KDxkU%2F636Z104oNn9O8dXZZQdUM4lcdcJL1YMbRciKqFP%2BNExhtgTISXD%2FgGjojb12Q7t1BEbR%2BzUxvSG36geiWvC&amp;datasetId=S2_L1C_CDAS&amp;fromTime=2023-01-25T00%3A00%3A00.000Z&amp;toTime=2023-01-25T23%3A59%3A59.999Z&amp;layerId=1_TRUE_COLOR&amp;demSource3D=%22MAPZEN%22&amp;cloudCoverage=30&amp;dateMode=SINGLE</t>
  </si>
  <si>
    <t>5 days (temporal resolution)</t>
  </si>
  <si>
    <t>5 days</t>
  </si>
  <si>
    <t>Satellite Image Landsat-1 Or Erts-1 ,Mss- (79m Spatial Resolution)</t>
  </si>
  <si>
    <t>contains satellite imagery of (MSS at 79m spatial resolution(RBV)-40m)</t>
  </si>
  <si>
    <t>US Geological Survey (2024) USGS Earth Explorer</t>
  </si>
  <si>
    <t>NASA</t>
  </si>
  <si>
    <t>https://earthexplorer.usgs.gov/</t>
  </si>
  <si>
    <t>18 days (temporal resolution)</t>
  </si>
  <si>
    <t>18 days</t>
  </si>
  <si>
    <t>Satellite Image Landsat-2 ,Mss- (79m Spatial Resolution)</t>
  </si>
  <si>
    <t>contains satellite imagery of (MSS at 79m spatial resolution, (RBV)-40m)</t>
  </si>
  <si>
    <t>Satellite Image Landsat-3 ,Mss- (79m Spatial Resolution)</t>
  </si>
  <si>
    <t>Satellite Image Landsat-4 ,Mss-(79m) &amp; Tm(30m,120m)</t>
  </si>
  <si>
    <t>contains satellite imagery of spatial resolution 30 meters (TM, VIS/NIR/SWIR), 120 meters (thermal); 79 meters (MSS)</t>
  </si>
  <si>
    <t>Satellite Image Landsat-5 ,Mss-(79m) &amp; Tm(30m,120m)</t>
  </si>
  <si>
    <t>Satellite Image Landsat-7 ,Etm+(15m,30m,120m)</t>
  </si>
  <si>
    <t>contains satellite imagery of spatial resolution 30 meters (VIS/NIR/SWIR), 60 meters (thermal), 15 meters (panchromatic)</t>
  </si>
  <si>
    <t>Satellite Image Landsat-8 ,Pan(15m),Oli (30m) &amp; Tirs(100m)</t>
  </si>
  <si>
    <t>contains satellite imagery of spatial resolution 30 meters (OLI), 100 meters (TIRS), 15 meters (panchromatic)</t>
  </si>
  <si>
    <t>Satellite Image Landsat-9 ,Pan(15m),Oli-2 (30m) &amp; Tirs-2 (100m)</t>
  </si>
  <si>
    <t>contains satellite imagery of spatial resolution 30 meters (OLI-2), 100 meters (TIRS-2), 15 meters (panchromatic)</t>
  </si>
  <si>
    <t>Services</t>
  </si>
  <si>
    <t>Civic And Other Amenities, 2009</t>
  </si>
  <si>
    <t>contains the Name of Town, Road length (in kms.), System of drainage( Open, Closed, Both -Open &amp; Closed), Number of latrines(Pit System,Flush/Pour Flush (Water borne),Service,Others), Protected water supply(Source of supply, System of storage with capacity in kilo litres), Fire fighting service, Electrification (Number of connections of Domestic, Industrial, Commercial, Road lighting points, others)</t>
  </si>
  <si>
    <t>Town Infrastructure, Utility, Services Overview</t>
  </si>
  <si>
    <t>Town Statement-III_0812</t>
  </si>
  <si>
    <t>Coverage of the drainage system</t>
  </si>
  <si>
    <t>Medical Facilities, 2009</t>
  </si>
  <si>
    <t>contains the Name of Town, No. of Medical facilities (with number of beds in brackets) in Hospitals  (Allopathic &amp; Others), Dispensaries / Health Center, Family Welfare Center, Maternity and Child Welfare Center, Maternity Homes,T.B.Hospital/ Clinic,  Nursing Homes, Veterinary Hospital, Mobile Health Clinic and Others etc., Charitable Hospital/Nursing Home  (Numbers), Medicine Shop (Numbers)</t>
  </si>
  <si>
    <t>Town Health Facilities, Medical, Welfare Services</t>
  </si>
  <si>
    <t>Town Statement-IV_0812</t>
  </si>
  <si>
    <t>Educational, Recreational And Cultural Facilities, 2009</t>
  </si>
  <si>
    <t>contains the Name of Town, Number of Educational Facilities(Primary school, Middle school, Secondary school, Senior Secondary school, Arts/ Science/ Commerce colleges (of degree level and above) , Medical colleges,Engineering colleges, Management Institute/ colleges,Polytechnics, Recognised Shorthand, Typewriting and vocational training institutions,Non-formal Education Center (Sarva Shiksha Abhiyan Center), Special School for Disabled, others ), Number of Social, Recreational and Cultural facilities: No. of Orphanage Home, Working women's hostles, No. of Old Age Home, Stadium, Cinema Theatre, Auditorium/ Community halls, Public libraries and Reading rooms</t>
  </si>
  <si>
    <t>Town Educational, Social Facilities, Education, Recreation Infrastructure</t>
  </si>
  <si>
    <t>Town Statement-V_0812</t>
  </si>
  <si>
    <t>Industry And Banking, 2009</t>
  </si>
  <si>
    <t>contains the Name of Town, Names of three most important commodities manufactured, Number of banks (Nationalised Bank,Private Commercial Bank,Co-operative Bank), Number of agricultural credit societies, Number of non-agricultural credit societies</t>
  </si>
  <si>
    <t>Town Manufacturing, Financial Institutions, Banking, Credit Facilities</t>
  </si>
  <si>
    <t>Town Statement-VI_0812</t>
  </si>
  <si>
    <t>Civic And Other Amenities In Slums, 2009</t>
  </si>
  <si>
    <t>contains the Class and name of town, Name of the slum, No. of households (approximate), Population of the Slum (approximate), Paved roads (in kms.), System of drainage( Open, Closed, Both, Nil), Number of latrines, Community, No. of tap points/ public hydrants installed for supply of protected water, Electricity (Number of connections) in Domestic, Road lighting (points) and Others</t>
  </si>
  <si>
    <t>Slum Infrastructure, Amenities, Slum Living Conditions</t>
  </si>
  <si>
    <t>Town Statement-VII_0812</t>
  </si>
  <si>
    <t>Education Facilities In Jaipur Region Villages</t>
  </si>
  <si>
    <t>This dataset contains the Education Facilities in Jaipur Region Villages based on infrastructure, standard and no. of facilities</t>
  </si>
  <si>
    <t>Education Facilities, Infrastructure, Jaipur Region Villages</t>
  </si>
  <si>
    <t>Table 3-17, pg.153</t>
  </si>
  <si>
    <t>Smart Governance</t>
  </si>
  <si>
    <t>This catalog describes the availability of online services for various domains like taxes, challans,fines, service connections, certificates,licenses, tenders, grievance management, tickets &amp; passes, disclosure of documents in yes and no format</t>
  </si>
  <si>
    <t xml:space="preserve">smart governance, </t>
  </si>
  <si>
    <t>https://smartcities.data.gov.in/catalog/digital-availability-jaipur</t>
  </si>
  <si>
    <t>Cultural Heritage Jaipur</t>
  </si>
  <si>
    <t xml:space="preserve">This catalog provides the Name of heritage,Nature of heritage (open space, monuments, street etc.),Heritage use, Age of heritage ( In Years) </t>
  </si>
  <si>
    <t>Heritage Characteristics</t>
  </si>
  <si>
    <t>https://smartcities.data.gov.in/catalog/culturalheritagejaipur</t>
  </si>
  <si>
    <t>Digital Payments Jaipur</t>
  </si>
  <si>
    <t>Digital payments, jaipur</t>
  </si>
  <si>
    <t>https://smartcities.data.gov.in/catalog/digital-payments-jaipur</t>
  </si>
  <si>
    <t>Community Facilities Jaipur</t>
  </si>
  <si>
    <t>This catalog contains the number of ward wise Community Hall / Auditorium / Convention Center / Swimming Pools / Sports Ground / Theatre, Facility Name and capacity</t>
  </si>
  <si>
    <t>community facilities, jaipur</t>
  </si>
  <si>
    <t>https://smartcities.data.gov.in/catalog/community-facilities-jaipur</t>
  </si>
  <si>
    <t>Citizen Facilities Jaipur</t>
  </si>
  <si>
    <t>This catalog provides the citizen facilitation centers with average monthly footfalls</t>
  </si>
  <si>
    <t>citizen facility, footfall, jaipur</t>
  </si>
  <si>
    <t>https://smartcities.data.gov.in/catalog/citizen-facilities-jaipur</t>
  </si>
  <si>
    <t>Availability Of Primary Schools Within Jaipur Region</t>
  </si>
  <si>
    <t>Map showing the distribution of primary schools across Jaipur Region.</t>
  </si>
  <si>
    <t>primary schools, Jaipur region</t>
  </si>
  <si>
    <t>Map 3-6, pg.160</t>
  </si>
  <si>
    <t>Assessment Of Senior Secondary School Availability In Jaipur Region</t>
  </si>
  <si>
    <t>Map assessing the availability of senior secondary schools in Jaipur Region.</t>
  </si>
  <si>
    <t>Senior secondary Schools, Jaipur region</t>
  </si>
  <si>
    <t>Map 3-7, pg. 161</t>
  </si>
  <si>
    <t>Assessment Of College Availability In Jaipur Region</t>
  </si>
  <si>
    <t>Map evaluating the accessibility of colleges in Jaipur Region.</t>
  </si>
  <si>
    <t>Colleges, Jaipur region</t>
  </si>
  <si>
    <t>Map 3-8, pg. 162</t>
  </si>
  <si>
    <t>Assessment Of Health Centre Availability In Jaipur Region</t>
  </si>
  <si>
    <t>Map assessing the distribution of health centers in Jaipur Region.</t>
  </si>
  <si>
    <t>Health centres, Jaipur region</t>
  </si>
  <si>
    <t>Map 3-10, pg.164</t>
  </si>
  <si>
    <t>Accessibility To Hospitals In Jaipur Region</t>
  </si>
  <si>
    <t>Map highlighting the accessibility to hospitals in Jaipur Region.</t>
  </si>
  <si>
    <t>Hospitals, Jaipur region</t>
  </si>
  <si>
    <t>Map 3-11, pg.165</t>
  </si>
  <si>
    <t>Bank Facility In Jaipur Region</t>
  </si>
  <si>
    <t>Map showing the locations of banks within Jaipur Region.</t>
  </si>
  <si>
    <t>Banks, Jaipur region</t>
  </si>
  <si>
    <t>Map 3-12, pg.166</t>
  </si>
  <si>
    <t>Availability Of Credit Banking Facility In Agriculture Productive Areas -Jaipur Region</t>
  </si>
  <si>
    <t>Map indicating credit banking facilities in agricultural areas of Jaipur Region.</t>
  </si>
  <si>
    <t>Banking facilities, agriculture, Jaipur region</t>
  </si>
  <si>
    <t>Map 3-13, pg. 167</t>
  </si>
  <si>
    <t>Availability Of Postal Services In Jaipur Region</t>
  </si>
  <si>
    <t>Map detailing the availability of postal services in Jaipur Region.</t>
  </si>
  <si>
    <t>Postal service, Jaipur region</t>
  </si>
  <si>
    <t>Map 3-14, pg. 168</t>
  </si>
  <si>
    <t>Transport Network</t>
  </si>
  <si>
    <t>Road Network In Rajasthan (Up To 31.03.2022)</t>
  </si>
  <si>
    <t>This dataset contains the Road Network in Rajasthan (up to 31.03.2022) with road category, length (km), and percentage  share as the parameters</t>
  </si>
  <si>
    <t>Road Network, Rajasthan</t>
  </si>
  <si>
    <t>Public Works Department, Government of Rajasthan</t>
  </si>
  <si>
    <t>https://roadsafetycell.rkcl.in/pageView/token=Q2twNXhhZk9IaklESkMwMGxoaTgwdz09</t>
  </si>
  <si>
    <t>sustainable mobility, effective enforcement, public transport supply</t>
  </si>
  <si>
    <t>Regional Road Network Map</t>
  </si>
  <si>
    <t>Shows the regional network map</t>
  </si>
  <si>
    <t>Road network, Regional</t>
  </si>
  <si>
    <t>Figure 2-1, pg. 2-3</t>
  </si>
  <si>
    <t>District Road Network-Class 1 &amp; Class 2 Town Connectivity</t>
  </si>
  <si>
    <t>This dataset contains district road network for connectivity of class 1&amp; class 2 towns</t>
  </si>
  <si>
    <t>District road network</t>
  </si>
  <si>
    <t>Map 2-41, pg.118</t>
  </si>
  <si>
    <t>District Road Network - Class 2 &amp; Class 3 Town Connectivity</t>
  </si>
  <si>
    <t>This dataset contains district road network for connectivity of class 2&amp; class 3 towns</t>
  </si>
  <si>
    <t>Map 2-42, pg.119</t>
  </si>
  <si>
    <t>sustainable mobility, public transport supply, effective enforcement</t>
  </si>
  <si>
    <t>District Road Network - Class 3 &amp; Class 4 Town Connectivity</t>
  </si>
  <si>
    <t>This dataset contains district road network for connectivity of class 3&amp; class 4 towns</t>
  </si>
  <si>
    <t>Map 2-43, pg. 119</t>
  </si>
  <si>
    <t>District Road Network - Class 4 &amp; Class 5 Town Connectivity</t>
  </si>
  <si>
    <t>This dataset contains district road network for connectivity of class 4&amp; class 5 towns</t>
  </si>
  <si>
    <t>Map 2-44, pg. 120</t>
  </si>
  <si>
    <t>District Road Network Optimum Connectivity</t>
  </si>
  <si>
    <t>The map indicates the optimum connectivity of the district over laying the future towns, growth centres, growth foci, focal villages and service villages. Should be used with Table  2-40 (list of the 57 new towns and their class by 2025)</t>
  </si>
  <si>
    <t>Connectivity map</t>
  </si>
  <si>
    <t>Map-2-45, pg. 120</t>
  </si>
  <si>
    <t>Road Network</t>
  </si>
  <si>
    <t>This dataset shows Highway Network for JDA Region</t>
  </si>
  <si>
    <t>Highway, network, JDA</t>
  </si>
  <si>
    <t>Figure 6-6 pg 6-14</t>
  </si>
  <si>
    <t>JDA Boundary</t>
  </si>
  <si>
    <t>This dataset shows the Highway Network for JMC Boundary</t>
  </si>
  <si>
    <t>Highway, network, JMC</t>
  </si>
  <si>
    <t>Figure 6-5 pg 6-13</t>
  </si>
  <si>
    <t>Built Heritage And Cultural Trail</t>
  </si>
  <si>
    <t>Map highlighting significant heritage sites and cultural landmarks in Jaipur.</t>
  </si>
  <si>
    <t>Heritage, cultural sites</t>
  </si>
  <si>
    <t>Map 2-37, pg. 113</t>
  </si>
  <si>
    <t>Recreation And Leisure Trail</t>
  </si>
  <si>
    <t>Map showcasing recreational and leisure areas in Jaipur.</t>
  </si>
  <si>
    <t>Recreational, leisure area, Jaipur</t>
  </si>
  <si>
    <t>Map 2-38, pg. 114</t>
  </si>
  <si>
    <t>Religious And Spiritual Trail</t>
  </si>
  <si>
    <t>Map detailing religious and spiritual sites in Jaipur.</t>
  </si>
  <si>
    <t>Spiritual sites, Jaipur</t>
  </si>
  <si>
    <t>Map 2-39, pg. 115</t>
  </si>
  <si>
    <t>Availability Of Road Markings In Walled City</t>
  </si>
  <si>
    <t xml:space="preserve">Map showing the availability of road markings in the walled city of Jaipur. </t>
  </si>
  <si>
    <t>Road markings, walled city</t>
  </si>
  <si>
    <t>Figure 7-8, Pg. 7-12</t>
  </si>
  <si>
    <t>Organised road use</t>
  </si>
  <si>
    <t>Walled City</t>
  </si>
  <si>
    <t>Availability Of Signage In Walled City</t>
  </si>
  <si>
    <t xml:space="preserve">Map showing the availability of Signages in walled city. </t>
  </si>
  <si>
    <t>Singages, walled city</t>
  </si>
  <si>
    <t>Figure 7-9, Pg. 7-12</t>
  </si>
  <si>
    <t>Availability Of Footpaths In Walled City</t>
  </si>
  <si>
    <t xml:space="preserve">Map showing Availability of Footpaths in Walled City
</t>
  </si>
  <si>
    <t>Foothpath availability</t>
  </si>
  <si>
    <t>Figure 7-38, Pg. 7-54</t>
  </si>
  <si>
    <t>Walkability</t>
  </si>
  <si>
    <t>Right Of Way (Row) Widths</t>
  </si>
  <si>
    <t xml:space="preserve">This dataset provides detailed information on the road infrastructure in Jaipur, listing 39 major roads with their respective lengths, right-of-way (ROW), carriage details, and shoulder widths. </t>
  </si>
  <si>
    <t>Road Infrastructure, Major roads, ROW</t>
  </si>
  <si>
    <t>Table 4-21, pg.254</t>
  </si>
  <si>
    <t>DHV Primary Survey</t>
  </si>
  <si>
    <t>Transport Potential In Villages</t>
  </si>
  <si>
    <t xml:space="preserve">This dataset provides transport potential(High, Low, Medium) analysis in Jaipur District. </t>
  </si>
  <si>
    <t>Transport potential, villages</t>
  </si>
  <si>
    <t>Map 2-25, pg. 89</t>
  </si>
  <si>
    <t>Encroached Footpaths In Jaipur City</t>
  </si>
  <si>
    <t xml:space="preserve">Map showing Encroached Footpaths </t>
  </si>
  <si>
    <t>Footpaths</t>
  </si>
  <si>
    <t>Figure 7-49, Pg. 7-68</t>
  </si>
  <si>
    <t>Demarcation Of Traffic Analysis Zones (Taz)</t>
  </si>
  <si>
    <t>This dataset shows the zone list adopted for travel demand modeling is
as same as the zoning adopted</t>
  </si>
  <si>
    <t>Travel Demand Modeling, Zoning</t>
  </si>
  <si>
    <t>Figure 6-4 pg 6-11</t>
  </si>
  <si>
    <t>public transport supply, sustainable mobility</t>
  </si>
  <si>
    <t>Jaipur region</t>
  </si>
  <si>
    <t>Transport Network Assets</t>
  </si>
  <si>
    <t>Parking Site Locations In Jaipur City</t>
  </si>
  <si>
    <t>This catalog contains the Name, address, and Physical Coordinates of the  parking site locations in Jaipur city.</t>
  </si>
  <si>
    <t>Parking site</t>
  </si>
  <si>
    <t>https://catalogue.cos.iudx.org.in/jaipur/dataset/5004baa8-a1ca-45f0-b639-4cef1ec6b089</t>
  </si>
  <si>
    <t>On-Street Parking Accumalation, Supply And Demand</t>
  </si>
  <si>
    <t>This dataset provides the existing Parking Accumalation, supply and demand of Parking in the locations, Jauhari Bazaar and the Bapu Bazaar.</t>
  </si>
  <si>
    <t>parking accumulation, suply, demand, jauhari bazaar, bapu bazaar</t>
  </si>
  <si>
    <t xml:space="preserve">Management of Parking Spaces in the Walled City of Jaipur </t>
  </si>
  <si>
    <t>Table 1, Table 4, Fig 1</t>
  </si>
  <si>
    <t>Research Paper</t>
  </si>
  <si>
    <t>https://old.ccs.in/internship_papers/2011/245_riddhima_management-of-parking-spaces-in-the-walled-city-of-jaipur_second.pdf</t>
  </si>
  <si>
    <t>Jaipur City- specific</t>
  </si>
  <si>
    <t>Off-Street Parking Accumalation, Supply And Demand Projections</t>
  </si>
  <si>
    <t>This dataset provides the existing Parking Accumalation, supply and demand projections of the Off-Street Parking spaces of different locations.</t>
  </si>
  <si>
    <t>parking accumulation, suply, demand, off street parking</t>
  </si>
  <si>
    <t>Table 2, Table 5, Fig 3</t>
  </si>
  <si>
    <t>Smart Pole Locations In Jaipur City</t>
  </si>
  <si>
    <t>This catalog contains the Name, address, and Physical Coordinates of the smart pole location in Jaipur city</t>
  </si>
  <si>
    <t>Smart Pole</t>
  </si>
  <si>
    <t>Ev Charging Stations</t>
  </si>
  <si>
    <t>contains a map on EV charging locations</t>
  </si>
  <si>
    <t>EV Charging Stations</t>
  </si>
  <si>
    <t>Bureau of Energy Efficiency (2024)</t>
  </si>
  <si>
    <t>BEE</t>
  </si>
  <si>
    <t>https://evyatra.beeindia.gov.in/public-charging-stations/</t>
  </si>
  <si>
    <t>Street Lights Data Jaipur</t>
  </si>
  <si>
    <t>This catalog contains the ward wise data of total no. of poles of LED Bulbs/NonLED Bulbs and  Number of street lights / poles per km of road</t>
  </si>
  <si>
    <t>Street lighting, ward wise</t>
  </si>
  <si>
    <t>https://smartcities.data.gov.in/catalog/street-lights-data-jaipur</t>
  </si>
  <si>
    <t>Level Information From Manhole Sensors In Jaipur City</t>
  </si>
  <si>
    <t>This dataset contains the device id, sludge level and observation Date Time of jaipur city</t>
  </si>
  <si>
    <t xml:space="preserve">Sludge Level </t>
  </si>
  <si>
    <t>https://catalogue.cos.iudx.org.in/jaipur/dataset/e2e88fc3-95b2-4fcf-91d1-7c81a9a461d6</t>
  </si>
  <si>
    <t>Manhole Sensor Systems Locations In Jaipur City</t>
  </si>
  <si>
    <t>This catalog contains the Name, ID, and Physical Coordinates of the manhole sensor systems in Jaipur City.</t>
  </si>
  <si>
    <t>Manhole Sensor</t>
  </si>
  <si>
    <t>Vcc System Locations In Jaipur City</t>
  </si>
  <si>
    <t>This catalog contains the Name, ID,address and Physical Coordinates of the Vehicle Classification Camera(VCC)</t>
  </si>
  <si>
    <t>VCC system</t>
  </si>
  <si>
    <t>effective enforcement, sustainable mobility</t>
  </si>
  <si>
    <t>Anpr Camera Locations In Jaipur City</t>
  </si>
  <si>
    <t>This catalog contains the Name,ID, device count, address, and Physical Coordinates of the ANPR Camera locations in Jaipur city</t>
  </si>
  <si>
    <t>ANPR Camera</t>
  </si>
  <si>
    <t>Environment Sensor Locations In Jaipur City</t>
  </si>
  <si>
    <t>This catalog contains the Name, address, and Physical Coordinates of the environment sensor in Jaipur city</t>
  </si>
  <si>
    <t>Environment Sensor</t>
  </si>
  <si>
    <t>Transport Statistics</t>
  </si>
  <si>
    <t>Transport Annual Report 2022-23</t>
  </si>
  <si>
    <t>This dataset contains the annual administrative report for the year (2022-23)</t>
  </si>
  <si>
    <t>Administrative Report</t>
  </si>
  <si>
    <t>Annual administrative report (2022-23)</t>
  </si>
  <si>
    <t>Department of transport and road safety, Rajasthan</t>
  </si>
  <si>
    <t>https://transport.rajasthan.gov.in/content/dam/transport/transport-dept/pdf/Statistical-abstract2022-23/prashasnik%20prativedan%202022-23.pdf</t>
  </si>
  <si>
    <t>yearly</t>
  </si>
  <si>
    <t>Transport Dept Yearbook 2020-21</t>
  </si>
  <si>
    <t>This dataset contains the general information,routes and highways, permit and licences, revenue collection, vehicle statistics,road accidents, pollution control, enforcement, and miscellaneous data for Rajasthan(2020-21)</t>
  </si>
  <si>
    <t>highway, vcehicle statistics permit, license, revenue</t>
  </si>
  <si>
    <t>Transport Dept Yearbook 2019-20</t>
  </si>
  <si>
    <t>This dataset contains the general information,routes and highways, permit and licences, revenue collection, vehicle statistics,road accidents, pollution control, enforcement, and miscellaneous data for Rajasthan(2019-20)</t>
  </si>
  <si>
    <t>Rajasthan Transport, Traffic Infrastructure Statistics</t>
  </si>
  <si>
    <t>Transport Department, Government of Rajasthan (2019-20) STATISTICAL YEAR BOOK</t>
  </si>
  <si>
    <t>https://transport.rajasthan.gov.in/content/dam/transport/transport-dept/pdf/statistical2015-16/Transport%20Dept.%20Statistical%20Year%20Book.pdf</t>
  </si>
  <si>
    <t>Transport Dept Yearbook 2018-19</t>
  </si>
  <si>
    <t>Transport Overview, Traffic and Infrastructure</t>
  </si>
  <si>
    <t>Transport Department, Government of Rajasthan (2018-19) STATISTICAL ABSTRACT</t>
  </si>
  <si>
    <t>https://transport.rajasthan.gov.in/content/dam/transport/transport-dept/pdf/statistical-abstract2018-19/Trasport%20Department%20Abstract%20Book%2018-19.pdf</t>
  </si>
  <si>
    <t>This dataset contains the annual progress report from 2015-16 to 2021-22 in hindi</t>
  </si>
  <si>
    <t>Transport Report</t>
  </si>
  <si>
    <t>https://transport.rajasthan.gov.in/content/transportportal/en/transport/organisation/AnnualProgressReport.html.html#annualProgressReport</t>
  </si>
  <si>
    <t>Travel Demand</t>
  </si>
  <si>
    <t>Transportation Of Goods Vehicle Movement</t>
  </si>
  <si>
    <t>The routes opted by the goods vehicles within the JDA are presented in this map.</t>
  </si>
  <si>
    <t>Goods vehicle, JDA</t>
  </si>
  <si>
    <t>Fig. 2-29, Pg. 2-53</t>
  </si>
  <si>
    <t>Classified Traffic Volume Counts</t>
  </si>
  <si>
    <t>This datasheet shows Location-wise Traffic (PCUs) and Share (%) at Outer Cordon Location</t>
  </si>
  <si>
    <t>PCUs, outer cordon</t>
  </si>
  <si>
    <t>Figure 3-1, p.g 3-6</t>
  </si>
  <si>
    <t>Peak Hour Traffic Characteristics</t>
  </si>
  <si>
    <t>This dataset shows presents peak hour traffic and its share in the daily traffic at inner cordon locations.</t>
  </si>
  <si>
    <t>Peak hour traffic, daily traffic</t>
  </si>
  <si>
    <t>Table 3-8, p.g 3-11</t>
  </si>
  <si>
    <t>Traffic Composition</t>
  </si>
  <si>
    <t>The road-wise traffic composition at inner cordon locations</t>
  </si>
  <si>
    <t>Traffic composition</t>
  </si>
  <si>
    <t>Table 3-9 pg no-3-12</t>
  </si>
  <si>
    <t>Traffic Volume</t>
  </si>
  <si>
    <t>This dataset shows the Screen-line volume counts have been carried out at 68 locations across river and railway line_x000D_
crossings along east-west and north-south corridor.</t>
  </si>
  <si>
    <t xml:space="preserve">Screen-Line Volume Counts, Crossings
</t>
  </si>
  <si>
    <t>Figure3-5 pg 3-14</t>
  </si>
  <si>
    <t>Origin ‚Äì Destination (O-D) Survey</t>
  </si>
  <si>
    <t>this dadaset represents The O-D sample size collected at outer cordon locations</t>
  </si>
  <si>
    <t>Oring &amp; destination, outer cordon locations</t>
  </si>
  <si>
    <t>Table 3-13 pg 3-17</t>
  </si>
  <si>
    <t>Passenger Travel Count</t>
  </si>
  <si>
    <t>This dataset contains the Jaipur metro ridership data  since JUn-2015</t>
  </si>
  <si>
    <t>travel count, ridership</t>
  </si>
  <si>
    <t>https://transport.rajasthan.gov.in/content/transportportal/en/metro/PassengerInformation/passenger-travelled-count.html</t>
  </si>
  <si>
    <t>Monthly</t>
  </si>
  <si>
    <t>Screen Line Traffic Movement ‚Äì 16 Hours &amp; 24 Hours With Screenline Location Map</t>
  </si>
  <si>
    <t>This dataset contains the screen line location and traffic movement towards North,south,east,west with the number of vehicles and PCUs</t>
  </si>
  <si>
    <t>screenline, traffic, PCU</t>
  </si>
  <si>
    <t>Table 2-3, Table 2-4,  Figure 2.8</t>
  </si>
  <si>
    <t>https://transport.rajasthan.gov.in/content/dam/transport/metro/Project/Traffic%20Study%20by%20Wilbur%20Smith%20Associates-2010/Traffic%20and%20Transportation%20Study%20For%20DPR%20For%20Proposed%20Jaipur%20Metro%20Feb%202010.pdf</t>
  </si>
  <si>
    <t>printed table, map image</t>
  </si>
  <si>
    <t>Peak Hour Traffic At Screen Line Locations</t>
  </si>
  <si>
    <t>This dataset contains the  Peak Hour Traffic at Screen Line Locations with peak PCU,Daily PCU, peak hour factor in %</t>
  </si>
  <si>
    <t>peak hour traffic, PCU</t>
  </si>
  <si>
    <t>Table 2-5</t>
  </si>
  <si>
    <t>Midblock Traffic Movement - 16 Hours &amp; 24 Hours With Midblock Location Map</t>
  </si>
  <si>
    <t>This dataset contains the midblock traffic location and traffic movement towards North,south,east,west with the number of vehicles and PCUs</t>
  </si>
  <si>
    <t xml:space="preserve">midblock traffic </t>
  </si>
  <si>
    <t>Table 2.6, Table 2.7, Figure 2.10</t>
  </si>
  <si>
    <t>Peak Hour Traffic At Midblock Locations</t>
  </si>
  <si>
    <t>This dataset contains the  Peak Hour Traffic at Midblock Locations with peak PCU,Daily PCU, peak hour factor in %</t>
  </si>
  <si>
    <t>peak hour traffic, Midblock</t>
  </si>
  <si>
    <t>Table 2.8</t>
  </si>
  <si>
    <t>Outer Cordon Traffic Movement - 24 Hours With Outer Cordon Location Map</t>
  </si>
  <si>
    <t>This dataset contains the Outer Cordon Traffic location and traffic movement inbound and outbound with the number of vehicles and PCUs</t>
  </si>
  <si>
    <t xml:space="preserve">traffic location, traffic movement, outer cordon </t>
  </si>
  <si>
    <t>Table 2.9, Figure 2.11</t>
  </si>
  <si>
    <t>Peak Hour Traffic - Outer Cordon</t>
  </si>
  <si>
    <t>This dataset contains the peak Hour Traffic - Outer Cordon Locations with peak PCU, Daily PCU, and peak hour factor in %</t>
  </si>
  <si>
    <t>peak hour traffic, peak hour factor, outer cordon, PCU</t>
  </si>
  <si>
    <t>Table 2.10</t>
  </si>
  <si>
    <t>Speed And Delay: Peak Passengers Per Hour Per Direction (Pphpd) ‚Äì Major Corridors:</t>
  </si>
  <si>
    <t>This dataset contains the location of rods, rail network and the journey speed and  PPHPD on Major corridors</t>
  </si>
  <si>
    <t>road, rail network, journey speed, PPHPD</t>
  </si>
  <si>
    <t>Figure 2.13, Figure 2.14</t>
  </si>
  <si>
    <t>Travel Characteristics : Daily Trips,Hourly Distribution,Mode Share, Average Trip Length, And Trip Length Distribution</t>
  </si>
  <si>
    <t xml:space="preserve">This dataset contains Daily trips,Hourly Distribution,Mode Share, Average Trip Length, and Trip length distribution graphs and tables </t>
  </si>
  <si>
    <t>daily trips, hourly distribution, mode share, average trip length, trip length distribution</t>
  </si>
  <si>
    <t xml:space="preserve">Table 2.11,Table 2.12, Figure 2.15, Figure 2.16 </t>
  </si>
  <si>
    <t>sustainable mobility, inclusive mobility</t>
  </si>
  <si>
    <t>printed table, printed graph</t>
  </si>
  <si>
    <t>Peak Hour Traffic Composition At Screen Line Locations</t>
  </si>
  <si>
    <t>Contains location, passenger,goods and slow moving vehicles traffic composition with further classification like standard bus,mofussil bus, other bus, cars, two wheeler etc.</t>
  </si>
  <si>
    <t>traffic composition, screen line</t>
  </si>
  <si>
    <t>ANNEXURE - 2, pg. 116</t>
  </si>
  <si>
    <t>Motor vehicle traffic reduction, Walking and cycling, Public transport ridership, Last-mile use of intermediate public transport</t>
  </si>
  <si>
    <t>Peak Hour Traffic Composition At Midblock Locations</t>
  </si>
  <si>
    <t>traffic composition, midblock</t>
  </si>
  <si>
    <t>ANNEXURE - 2, pg. 120</t>
  </si>
  <si>
    <t>Peak Hour Traffic Composition At Cordon Locations</t>
  </si>
  <si>
    <t>traffic composition, cordon locations</t>
  </si>
  <si>
    <t>ANNEXURE - 2, pg. 122</t>
  </si>
  <si>
    <t>Journey Purpose At Outer Cordon (%)</t>
  </si>
  <si>
    <t>contains purpose in % in mode(2 wheeler,car,auto,taxi) for work, business, education, social &amp; recreation, tourism, others</t>
  </si>
  <si>
    <t>journey purpose, outer cordon,</t>
  </si>
  <si>
    <t>ANNEXURE - 2, pg. 124</t>
  </si>
  <si>
    <t>Peak Hour Passenger Count Data</t>
  </si>
  <si>
    <t>contains location, direction, no. of alighting passengers, no. of boarding passengers and total passenger</t>
  </si>
  <si>
    <t>peak hour, passenger count, location, direction, alighting, boarding</t>
  </si>
  <si>
    <t>Average Occupancy</t>
  </si>
  <si>
    <t>contains location, direction and average occupancy data</t>
  </si>
  <si>
    <t>occupancy rate</t>
  </si>
  <si>
    <t>Traffic Study by Wilbur Smith Associates-2010</t>
  </si>
  <si>
    <t>ANNEXURE - 2, pg. 125</t>
  </si>
  <si>
    <t>Motor vehicle traffic reduction, Public transport ridership</t>
  </si>
  <si>
    <t>Speed And Delay</t>
  </si>
  <si>
    <t>contains corridor name, direction(towards), distance(km), average total time(sec), average delay(sec), average journey speed(kmph), running speed(kmph) data</t>
  </si>
  <si>
    <t>corridor, direction, distance, average total time, average delay, average journey speed, running speed</t>
  </si>
  <si>
    <t>ANNEXURE - 2, pg. 126</t>
  </si>
  <si>
    <t>Mode Distribution In Jaipur (Including Walk)</t>
  </si>
  <si>
    <t>contains mode distribution with mode and total trips in %</t>
  </si>
  <si>
    <t>mode distribution, total trips, walk</t>
  </si>
  <si>
    <t>JMRCL(2018) Comprehensive Mobility Plan - Urban Transport Sector Assessment Report for Jaipur City_x000D_</t>
  </si>
  <si>
    <t>Table 0-1 (Egis survey)</t>
  </si>
  <si>
    <t>inclusive mobility, sustainable mobility</t>
  </si>
  <si>
    <t>Walking and cycling, Public transport ridership, Last-mile use of intermediate public transport, Motor vehicle traffic reduction</t>
  </si>
  <si>
    <t>Total Mechanized Trips Base Year 2017</t>
  </si>
  <si>
    <t>contains mode of transport, trips in lakhs and share in %</t>
  </si>
  <si>
    <t>mechanized trips, base year, trips, mode of transport</t>
  </si>
  <si>
    <t>Table 0-2 (Estimate by Egis survey)</t>
  </si>
  <si>
    <t>Average Trip Length By Various Modes</t>
  </si>
  <si>
    <t>contains mode, homebased,non-home based trips, avg. trip length(km)</t>
  </si>
  <si>
    <t>mode, homebased trips, nonhome based trips, trip length</t>
  </si>
  <si>
    <t>Table 0-3 ( Egis survey)</t>
  </si>
  <si>
    <t>Modal Share Of Transport</t>
  </si>
  <si>
    <t>This dataset provides the percentage of people who used different modes of transportation in 2009 and 2018.</t>
  </si>
  <si>
    <t>Modal share</t>
  </si>
  <si>
    <t>CMP ppt (n.d)</t>
  </si>
  <si>
    <t>pg. 29</t>
  </si>
  <si>
    <t>https://cdn.cseindia.org/userfiles/comprehensive_mobility.pdf</t>
  </si>
  <si>
    <t>Public Transport Mode Jaipur</t>
  </si>
  <si>
    <t xml:space="preserve">This catalog contains the public mode share data </t>
  </si>
  <si>
    <t>Public mode share</t>
  </si>
  <si>
    <t>https://smartcities.data.gov.in/catalog/publictransportmodejaipur</t>
  </si>
  <si>
    <t>Urban Development</t>
  </si>
  <si>
    <t>Dmic Corridor Along With Its Influence Zone</t>
  </si>
  <si>
    <t>The DMIC corridor is expected to have an influence zone of 150 Kms on either side, resulting in more than 70% of Jaipur district getting covered by the same. The map shows the DMIC corridor along with its influence zone.</t>
  </si>
  <si>
    <t>DMIC Corridor, Influence Zone</t>
  </si>
  <si>
    <t>Map 2-12, pg.63</t>
  </si>
  <si>
    <t>Growth Nodes By 2025 Jaipur District</t>
  </si>
  <si>
    <t>Map projecting key growth areas in Jaipur District by 2025.</t>
  </si>
  <si>
    <t>key growth area, Jaipur district, 2025</t>
  </si>
  <si>
    <t>Map 2-47, pg. 124</t>
  </si>
  <si>
    <t>Map Showing Jaipur Region-2025</t>
  </si>
  <si>
    <t>Map depicting the Jaipur Region by 2025.</t>
  </si>
  <si>
    <t>Jaipur region 2025</t>
  </si>
  <si>
    <t>Map 3-1, pg. 128</t>
  </si>
  <si>
    <t>Satellite Towns And Growth Centers In Jaipur Region</t>
  </si>
  <si>
    <t>This data shows information as per the master plan, 11 satellite towns and 4 growth centers are proposed in the Jaipur_x000D_
Region</t>
  </si>
  <si>
    <t>Satellite towns, growth centres, jaipur region</t>
  </si>
  <si>
    <t>Table 6-2 Pg 6-5</t>
  </si>
  <si>
    <t>Growth Direction Of Jaipur Region</t>
  </si>
  <si>
    <t>This dataset shows the availability of The expansion trajectory of Jaipur region</t>
  </si>
  <si>
    <t>Trajectory, Jaipur region</t>
  </si>
  <si>
    <t>Figure 6-2 pg 6-4</t>
  </si>
  <si>
    <t>Existing Development Area Boundary Of Jaipur Region</t>
  </si>
  <si>
    <t>Map outlining the boundaries of existing development areas in Jaipur Region.</t>
  </si>
  <si>
    <t>Boundaries, Jaipur region</t>
  </si>
  <si>
    <t>Map 4-1, pg. 216</t>
  </si>
  <si>
    <t>Waste Management</t>
  </si>
  <si>
    <t>Solid Waste Disposal Data Jaipur</t>
  </si>
  <si>
    <t>This catalog contains data regarding the disposal/SLF sites, type of waste,distance from city centre,operation since and quantity(TPD) in Jaipur City.</t>
  </si>
  <si>
    <t>solid waste, jaipur, TPD</t>
  </si>
  <si>
    <t>https://smartcities.data.gov.in/catalog/solidwastedisposaldatajaipur</t>
  </si>
  <si>
    <t>Public Toilets Jaipur</t>
  </si>
  <si>
    <t>This catalog describes the sewerage network and details the spread of public toilets available within an area based on ward in the city</t>
  </si>
  <si>
    <t>public toilets, ward, area, jaipur, location</t>
  </si>
  <si>
    <t>https://smartcities.data.gov.in/catalog/public-toilets-jaipur</t>
  </si>
  <si>
    <t>Solid Waste D2d Collection Jaipur</t>
  </si>
  <si>
    <t>This catalog contains ward wise total door to door solid waste collection</t>
  </si>
  <si>
    <t>solid waste collection, door to door, jaipur</t>
  </si>
  <si>
    <t>https://smartcities.data.gov.in/catalog/solidwasted2dcollectionjaipur</t>
  </si>
  <si>
    <t>Solid Waste Processing Jaipur</t>
  </si>
  <si>
    <t xml:space="preserve"> catalog contains jaipur city Type of Waste, Quantity, Process technology, Plant location (address), Plant capacity (TPD), Waste to Energy initiative (Y/N), Power generated by Waste-to-Energy initiative (in MW)</t>
  </si>
  <si>
    <t>solid waste, processing, capacity, jaipur, plant</t>
  </si>
  <si>
    <t>https://smartcities.data.gov.in/catalog/solid-waste-processing-jaipur</t>
  </si>
  <si>
    <t>Solid Waste Collection Vehicle Jaipur</t>
  </si>
  <si>
    <t>This catalog contains the types of waste collection vehicle used in different wards of jaipur city</t>
  </si>
  <si>
    <t>vehicle, waste collection, Jaipur city</t>
  </si>
  <si>
    <t>https://smartcities.data.gov.in/catalog/solidwastecollectionvehiclejaipur</t>
  </si>
  <si>
    <t>Door To Door Collection Of Solid Waste In Jaipur</t>
  </si>
  <si>
    <t>This catalougue contains total no. of households and establishments covered through doorstep collection ward wise</t>
  </si>
  <si>
    <t>Doorstep collection, ward wise</t>
  </si>
  <si>
    <t>https://smartcities.data.gov.in/catalog/door-door-collection-solid-waste-jaipur</t>
  </si>
  <si>
    <t>Solid Waste Segregation Jaipur</t>
  </si>
  <si>
    <t>This catalog contains the total no. of ward wise No. of Households with waste segregation</t>
  </si>
  <si>
    <t>Waste segregation, ward wise</t>
  </si>
  <si>
    <t>https://smartcities.data.gov.in/catalog/solidwastesegregationjaipur</t>
  </si>
  <si>
    <t>Waste Management Revenue Expenditure Data Jaipur</t>
  </si>
  <si>
    <t xml:space="preserve">This catalog contains the annual expenditure and revenue generated( in lakhs) </t>
  </si>
  <si>
    <t>Expenditure, Revenue</t>
  </si>
  <si>
    <t>https://smartcities.data.gov.in/catalog/waste-management-revenue-expenditure-data-jaipur</t>
  </si>
  <si>
    <t>KPI_code</t>
  </si>
  <si>
    <t>KPI</t>
  </si>
  <si>
    <t>KPI_domain</t>
  </si>
  <si>
    <t>Metric</t>
  </si>
  <si>
    <t xml:space="preserve">Minimum spatial unit </t>
  </si>
  <si>
    <t>Input data</t>
  </si>
  <si>
    <t>A01</t>
  </si>
  <si>
    <t>The supply of public buses indicates the capacity of public transport given the population. If other public transport modes are available (e.g. metro), these could be converted into bus equivalents. The minimum benchmark is one bus per 2000 people, or 500 buses per 1m people.</t>
  </si>
  <si>
    <t>Public buses per one million people</t>
  </si>
  <si>
    <t>number of public buses | city population</t>
  </si>
  <si>
    <t>A02</t>
  </si>
  <si>
    <t>The level of service and coverage of public transport networks. The policy goal in Jaipur is to supply 60% of people and 50% of jobs with high-frequency services within 500m.</t>
  </si>
  <si>
    <t>Percentage of people and jobs within 500m of high-frequency PT services</t>
  </si>
  <si>
    <t>neighbourhood</t>
  </si>
  <si>
    <t>resident population by neighbourhood | jobs by neighbourhood | public transport routes | street network | neighbourhood boundaries</t>
  </si>
  <si>
    <t>A03</t>
  </si>
  <si>
    <t xml:space="preserve">Walkability </t>
  </si>
  <si>
    <t>The provision of walking facilities at a minimum level of quality. This includes footpaths, crossings, signalling at junctions and access to PT stops. This indicator should be expanded to consider step-free access and inclusive design.</t>
  </si>
  <si>
    <t>Percentage of the road network covered by walking facilities (» framework to be determined)</t>
  </si>
  <si>
    <t>network segment, neighbourhood</t>
  </si>
  <si>
    <t>walking facilities | street network</t>
  </si>
  <si>
    <t>A04</t>
  </si>
  <si>
    <t>Coverage by cycling facilities</t>
  </si>
  <si>
    <t>The provision of cycling facilities at a minimum level of quality, including cycling lanes and storage</t>
  </si>
  <si>
    <t xml:space="preserve">Percentage of the road network covered by cycling facilities </t>
  </si>
  <si>
    <t>cycling facilities | street network</t>
  </si>
  <si>
    <t>A05</t>
  </si>
  <si>
    <t>The provision of sufficient drainage to avoid disruptions that primarily affect non-motorised modes and thus encourage acquisition of a privat vehicle.</t>
  </si>
  <si>
    <t>Percentage of the road network covered by drainage system along road network</t>
  </si>
  <si>
    <t>drainage system | street network</t>
  </si>
  <si>
    <t>A06</t>
  </si>
  <si>
    <t>Driver training is important for safe driving, which includes being considerate to non-motorised transport users.</t>
  </si>
  <si>
    <t>Percentage of trained drivers among the adult population</t>
  </si>
  <si>
    <t>driver training participants | population with driving licence | population with vehicle access | resident population at age 16 and above</t>
  </si>
  <si>
    <t>A07</t>
  </si>
  <si>
    <t>Expenditure on transport indicates to which extent an efficient transport system can be developed and maintained. It is difficult to define benchmarks - but one could look at comparable cities that experience more successful mobility outcomes.</t>
  </si>
  <si>
    <t>Expenditure on transport by mode per capita</t>
  </si>
  <si>
    <t>transport budget | transport expenditure | population</t>
  </si>
  <si>
    <t>A08</t>
  </si>
  <si>
    <t>Local traffic flow</t>
  </si>
  <si>
    <t>Enforcement of traffic rules and regulations will ensure less traffic disorders at locations with high density of activities. Data about traffic flow can be collected more easily using sensors and cameras.</t>
  </si>
  <si>
    <t>Minutes of non-congested traffic flow during daytime</t>
  </si>
  <si>
    <t>network nodes or links</t>
  </si>
  <si>
    <t>camera / sensor data | road network</t>
  </si>
  <si>
    <t>A09</t>
  </si>
  <si>
    <t>Commercial and other encroachments on foothpaths and carriageways cause local traffic disorder, which affect non-motorised users particularly strongly.</t>
  </si>
  <si>
    <t>Percentage of correctly aligned vending stalls</t>
  </si>
  <si>
    <t>camera / sensor data | road network | road use allocations</t>
  </si>
  <si>
    <t>A10</t>
  </si>
  <si>
    <t>effective enforcment</t>
  </si>
  <si>
    <t>Parking rules enforcement is important to avoid local traffic disorder and protect and promote uninhibted non-motorised road use.</t>
  </si>
  <si>
    <t>Percentage of the road network that is designated for parking management and registers parking fee collection</t>
  </si>
  <si>
    <t>parking fees revenue | parking management designation | road network | neighbourhood boundaries</t>
  </si>
  <si>
    <t>B01</t>
  </si>
  <si>
    <t>The high ratio of private vehicles (cars and two-wheelers) is a symptom of a malfunctioning transport system, which can only be addressed indirectly through upstream interventions.</t>
  </si>
  <si>
    <t>Percentage of the reduction of the growth in vehicle registrations per person</t>
  </si>
  <si>
    <t>city, neighbourhood</t>
  </si>
  <si>
    <t>registered two-wheelers | registered four-wheelers | resident population by neighbourhood</t>
  </si>
  <si>
    <t>B02</t>
  </si>
  <si>
    <t xml:space="preserve">A reduction in motor vehicle traffic reduces the risk of congestion across the network. </t>
  </si>
  <si>
    <t>Traffc volumes relative to capacity at critical points in the network</t>
  </si>
  <si>
    <t>cordons, network segments</t>
  </si>
  <si>
    <t>sampled traffic counts | camera / sensor data | road network | road segment capacity</t>
  </si>
  <si>
    <t>B03</t>
  </si>
  <si>
    <t>Accident rates result from the degree to which the transport system is well managed and regulations are enforced. Accidents should be broken down by socio-demographic groups.</t>
  </si>
  <si>
    <t>Accidents per capita, possibly broken down by group or location</t>
  </si>
  <si>
    <t>accidents | accident locations | road network | neighbourhood boundaries</t>
  </si>
  <si>
    <t>B04</t>
  </si>
  <si>
    <t>Uptake of walking and cycling is a desirable mobility outcome. On its own, it can be affected by factors that are not related to transport, e.g. lack of ability to afford a vehicle or fare. The target for Jaipur is 35%.</t>
  </si>
  <si>
    <t>Percentage of walking and cycling in all trips</t>
  </si>
  <si>
    <t>modal split | transport surveys | mobile phone data</t>
  </si>
  <si>
    <t>B05</t>
  </si>
  <si>
    <t>Public transport ridership suports the efficiency and environmental sustainability of travel. It is heavily affected by the level of services afforded by the transport system. The Government of India's target for PT ridership in all major cities is 50% of all trips.</t>
  </si>
  <si>
    <t>Percentage of trips made by public transport in all trips</t>
  </si>
  <si>
    <t>modal split | transport surveys | mobile phone data | public transport ticket sales</t>
  </si>
  <si>
    <t>B06</t>
  </si>
  <si>
    <t>Intermediate public transport should fill service gaps and offer last-mile mobility. Ideally, IPT is used for access and egress of public transport users. A possible benchmark could be the average length of IPT journeys or the number of IPT journeys per public transport trip.</t>
  </si>
  <si>
    <t xml:space="preserve">Lengths of trips made by intermediate public transport per PT trip </t>
  </si>
  <si>
    <t>Abbreviation</t>
  </si>
  <si>
    <t>Name</t>
  </si>
  <si>
    <t>OGL</t>
  </si>
  <si>
    <t>Open Government Licence</t>
  </si>
  <si>
    <t>https://www.nationalarchives.gov.uk/doc/open-government-licence/version/1/open-government-licence.htm</t>
  </si>
  <si>
    <t>OGL3</t>
  </si>
  <si>
    <t>Open Government Licence v3.0</t>
  </si>
  <si>
    <t>https://www.nationalarchives.gov.uk/doc/open-government-licence/version/3/</t>
  </si>
  <si>
    <t>CC0</t>
  </si>
  <si>
    <t>Creative Commons No rights reserved licence</t>
  </si>
  <si>
    <t>https://creativecommons.org/share-your-work/public-domain/cc0/</t>
  </si>
  <si>
    <t>CC-BY</t>
  </si>
  <si>
    <t>Creative Commons licence with attribution</t>
  </si>
  <si>
    <t>https://creativecommons.org/licenses/by/4.0/</t>
  </si>
  <si>
    <t>CC-BY-NC</t>
  </si>
  <si>
    <t>Creative Commons with attribution non-commercial</t>
  </si>
  <si>
    <t>https://creativecommons.org/licenses/by-nc/4.0/legalcode</t>
  </si>
  <si>
    <t>ODC-By</t>
  </si>
  <si>
    <t>Open Data Commons Attribution License</t>
  </si>
  <si>
    <t>https://opendatacommons.org/licenses/by/</t>
  </si>
  <si>
    <t>PSGA</t>
  </si>
  <si>
    <t>Public Sector Geospatial Agreement</t>
  </si>
  <si>
    <t>https://www.ordnancesurvey.co.uk/business-government/public-sector-geospatial-agreement</t>
  </si>
  <si>
    <t>ODbL</t>
  </si>
  <si>
    <t>Open Data Commons Open Database License</t>
  </si>
  <si>
    <t>https://www.openstreetmap.org/copyright/en</t>
  </si>
  <si>
    <t>EUL</t>
  </si>
  <si>
    <t>End User Licence with use restrictions</t>
  </si>
  <si>
    <t>various</t>
  </si>
  <si>
    <t>Buses Jaipur (2015-2017)</t>
  </si>
  <si>
    <t>This source shows the number of buses in Jaipur. The figure is regularly published but an editable data set is not available.</t>
  </si>
  <si>
    <t>Transport Department Of Rajasthan (2026)</t>
  </si>
  <si>
    <t>n/a</t>
  </si>
  <si>
    <t>https://transport.rajasthan.gov.in/content/transportportal/en/jaipur-bus.html</t>
  </si>
  <si>
    <t>Buses in Jaipur</t>
  </si>
  <si>
    <t>Transport Annual Progress Report</t>
  </si>
  <si>
    <t>Reduction of private vehicles, Motor vehicle traffic reduction, Decline in accidents</t>
  </si>
  <si>
    <t>sustainable mobility, health and safety</t>
  </si>
  <si>
    <t>No of registered vehicles in Jaipur city</t>
  </si>
  <si>
    <t>This table shows the number of registered two-wheelers and cars in Jaipur city</t>
  </si>
  <si>
    <t>transport report, modal shares, vehicle registrations</t>
  </si>
  <si>
    <t>https://www.unescap.org/sites/default/files/Jaipur%2C%20India.pdf</t>
  </si>
  <si>
    <t>United Nations Economic and Social Commission for Asia and the Pacific</t>
  </si>
  <si>
    <t>Transport Department, Government of Rajasthan (n.d.), Transport Anuual Progress Report</t>
  </si>
  <si>
    <t>Mehta, S (2019) Assessment of Urban Mobility in Jaipur using the Sustainable Urban Transport Index (SUTI)</t>
  </si>
  <si>
    <t>Table 1, pg.11</t>
  </si>
  <si>
    <t xml:space="preserve">Jaipur </t>
  </si>
  <si>
    <t>This dataset shows the Number of Road Accidents, Persons Killed, Persons Injured and
Severity of Accidents</t>
  </si>
  <si>
    <t>This dataset shows the Comparative Analysis of Number of Road Accidents, Persons Killed and
Persons Injured "</t>
  </si>
  <si>
    <t>Accident Report Division wise i.e. East, south, West and North Division</t>
  </si>
  <si>
    <t>Accident prone location names in Jaipur</t>
  </si>
  <si>
    <t>This dataset contains data of the total number of fatalities and injuries due to traffic accidents yearly data.</t>
  </si>
  <si>
    <t>On-Road Accidents</t>
  </si>
  <si>
    <t>Table 1:3, pg. 20, row no-16</t>
  </si>
  <si>
    <t>Table 1.2, pg. 17, row no-16</t>
  </si>
  <si>
    <t>This dataset contains the yearly municipal's expenditure and revenue</t>
  </si>
  <si>
    <t>This dataset contains Total Municipal Budget (in lakhs) and Municipal budget allocation for open spaces and / or parks (including development &amp; maintenance (in lakhs)</t>
  </si>
  <si>
    <t>This dataset contains the yearly Total VAT/GST collection during the year (in INR Cr)</t>
  </si>
  <si>
    <t>This dataset provides the Total Collection of municipal Amount collected by ticket sale for Bus and Metro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</si>
</sst>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2"/>
      <color theme="1"/>
      <name val="Calibri"/>
      <scheme val="minor"/>
    </font>
    <font>
      <sz val="12"/>
      <color theme="1"/>
      <name val="Calibri"/>
      <family val="2"/>
      <scheme val="minor"/>
    </font>
    <font>
      <b/>
      <sz val="12"/>
      <color theme="0"/>
      <name val="Calibri"/>
      <family val="2"/>
    </font>
    <font>
      <sz val="12"/>
      <color theme="1"/>
      <name val="Calibri"/>
      <family val="2"/>
      <scheme val="minor"/>
    </font>
    <font>
      <sz val="12"/>
      <color theme="1"/>
      <name val="Calibri"/>
      <family val="2"/>
    </font>
    <font>
      <b/>
      <sz val="12"/>
      <color rgb="FFFFFFFF"/>
      <name val="Calibri"/>
      <family val="2"/>
    </font>
    <font>
      <sz val="12"/>
      <color rgb="FFFFFFFF"/>
      <name val="Calibri"/>
      <family val="2"/>
    </font>
    <font>
      <u/>
      <sz val="12"/>
      <color theme="10"/>
      <name val="Calibri"/>
      <family val="2"/>
    </font>
    <font>
      <b/>
      <sz val="12"/>
      <color theme="1"/>
      <name val="Calibri"/>
      <family val="2"/>
      <scheme val="minor"/>
    </font>
    <font>
      <u/>
      <sz val="12"/>
      <color theme="10"/>
      <name val="Calibri"/>
      <family val="2"/>
      <scheme val="minor"/>
    </font>
  </fonts>
  <fills count="12">
    <fill>
      <patternFill patternType="none"/>
    </fill>
    <fill>
      <patternFill patternType="gray125"/>
    </fill>
    <fill>
      <patternFill patternType="solid">
        <fgColor theme="1"/>
        <bgColor theme="1"/>
      </patternFill>
    </fill>
    <fill>
      <patternFill patternType="solid">
        <fgColor rgb="FFBFBFBF"/>
        <bgColor rgb="FFBFBFBF"/>
      </patternFill>
    </fill>
    <fill>
      <patternFill patternType="solid">
        <fgColor rgb="FFD9EAD3"/>
        <bgColor rgb="FFD9EAD3"/>
      </patternFill>
    </fill>
    <fill>
      <patternFill patternType="solid">
        <fgColor rgb="FFD0E0E3"/>
        <bgColor rgb="FFD0E0E3"/>
      </patternFill>
    </fill>
    <fill>
      <patternFill patternType="solid">
        <fgColor rgb="FFF4CCCC"/>
        <bgColor rgb="FFF4CCCC"/>
      </patternFill>
    </fill>
    <fill>
      <patternFill patternType="solid">
        <fgColor rgb="FFFCE5CD"/>
        <bgColor rgb="FFFCE5CD"/>
      </patternFill>
    </fill>
    <fill>
      <patternFill patternType="solid">
        <fgColor rgb="FF6AA84F"/>
        <bgColor rgb="FF6AA84F"/>
      </patternFill>
    </fill>
    <fill>
      <patternFill patternType="solid">
        <fgColor rgb="FF3D85C6"/>
        <bgColor rgb="FF3D85C6"/>
      </patternFill>
    </fill>
    <fill>
      <patternFill patternType="solid">
        <fgColor rgb="FFA64D79"/>
        <bgColor rgb="FFA64D79"/>
      </patternFill>
    </fill>
    <fill>
      <patternFill patternType="solid">
        <fgColor theme="0" tint="-0.14999847407452621"/>
        <bgColor indexed="64"/>
      </patternFill>
    </fill>
  </fills>
  <borders count="2">
    <border>
      <left/>
      <right/>
      <top/>
      <bottom/>
      <diagonal/>
    </border>
    <border>
      <left/>
      <right/>
      <top/>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applyAlignment="1">
      <alignment vertical="center"/>
    </xf>
    <xf numFmtId="0" fontId="2" fillId="2" borderId="1" xfId="0" applyFont="1" applyFill="1" applyBorder="1" applyAlignment="1">
      <alignment vertical="center"/>
    </xf>
    <xf numFmtId="0" fontId="3" fillId="0" borderId="0" xfId="0" applyFont="1" applyAlignment="1">
      <alignment vertical="center"/>
    </xf>
    <xf numFmtId="0" fontId="4" fillId="0" borderId="0" xfId="0" applyFont="1" applyAlignment="1">
      <alignment vertical="center"/>
    </xf>
    <xf numFmtId="0" fontId="5" fillId="2" borderId="1" xfId="0" applyFont="1" applyFill="1" applyBorder="1" applyAlignment="1">
      <alignment vertical="center"/>
    </xf>
    <xf numFmtId="0" fontId="4" fillId="3" borderId="1" xfId="0" applyFont="1" applyFill="1" applyBorder="1"/>
    <xf numFmtId="0" fontId="4" fillId="0" borderId="0" xfId="0" applyFont="1"/>
    <xf numFmtId="0" fontId="4" fillId="4" borderId="1" xfId="0" applyFont="1" applyFill="1" applyBorder="1" applyAlignment="1">
      <alignment vertical="center"/>
    </xf>
    <xf numFmtId="0" fontId="4" fillId="4" borderId="0" xfId="0" applyFont="1" applyFill="1"/>
    <xf numFmtId="0" fontId="4" fillId="5" borderId="1" xfId="0" applyFont="1" applyFill="1" applyBorder="1" applyAlignment="1">
      <alignment vertical="center"/>
    </xf>
    <xf numFmtId="0" fontId="4" fillId="5" borderId="0" xfId="0" applyFont="1" applyFill="1"/>
    <xf numFmtId="0" fontId="4" fillId="6" borderId="1" xfId="0" applyFont="1" applyFill="1" applyBorder="1" applyAlignment="1">
      <alignment vertical="center"/>
    </xf>
    <xf numFmtId="0" fontId="4" fillId="6" borderId="0" xfId="0" applyFont="1" applyFill="1"/>
    <xf numFmtId="0" fontId="4" fillId="7" borderId="1" xfId="0" applyFont="1" applyFill="1" applyBorder="1" applyAlignment="1">
      <alignment vertical="center"/>
    </xf>
    <xf numFmtId="0" fontId="4" fillId="7" borderId="0" xfId="0" applyFont="1" applyFill="1"/>
    <xf numFmtId="0" fontId="6" fillId="8" borderId="1" xfId="0" applyFont="1" applyFill="1" applyBorder="1" applyAlignment="1">
      <alignment vertical="center"/>
    </xf>
    <xf numFmtId="0" fontId="6" fillId="8" borderId="0" xfId="0" applyFont="1" applyFill="1"/>
    <xf numFmtId="0" fontId="6" fillId="9" borderId="1" xfId="0" applyFont="1" applyFill="1" applyBorder="1" applyAlignment="1">
      <alignment vertical="center"/>
    </xf>
    <xf numFmtId="0" fontId="6" fillId="9" borderId="0" xfId="0" applyFont="1" applyFill="1"/>
    <xf numFmtId="0" fontId="6" fillId="10" borderId="1" xfId="0" applyFont="1" applyFill="1" applyBorder="1" applyAlignment="1">
      <alignment vertical="center"/>
    </xf>
    <xf numFmtId="0" fontId="6" fillId="10" borderId="0" xfId="0" applyFont="1" applyFill="1"/>
    <xf numFmtId="0" fontId="7" fillId="0" borderId="0" xfId="0" applyFont="1" applyAlignment="1">
      <alignment vertical="center"/>
    </xf>
    <xf numFmtId="0" fontId="8" fillId="11" borderId="0" xfId="0" applyFont="1" applyFill="1" applyAlignment="1">
      <alignment vertical="top"/>
    </xf>
    <xf numFmtId="0" fontId="0" fillId="0" borderId="0" xfId="0" applyAlignment="1">
      <alignment vertical="top"/>
    </xf>
    <xf numFmtId="17" fontId="0" fillId="0" borderId="0" xfId="0" applyNumberFormat="1" applyAlignment="1">
      <alignment vertical="top"/>
    </xf>
    <xf numFmtId="0" fontId="1" fillId="0" borderId="0" xfId="0" applyFont="1" applyAlignment="1">
      <alignment vertical="top"/>
    </xf>
    <xf numFmtId="0" fontId="9" fillId="0" borderId="0" xfId="1" applyAlignment="1">
      <alignment vertical="top"/>
    </xf>
  </cellXfs>
  <cellStyles count="2">
    <cellStyle name="Hyperlink" xfId="1" builtinId="8"/>
    <cellStyle name="Normal" xfId="0" builtinId="0"/>
  </cellStyles>
  <dxfs count="8">
    <dxf>
      <font>
        <color rgb="FF9C5700"/>
      </font>
      <fill>
        <patternFill>
          <bgColor rgb="FFFFEB9C"/>
        </patternFill>
      </fill>
    </dxf>
    <dxf>
      <font>
        <color rgb="FF9C5700"/>
      </font>
      <fill>
        <patternFill>
          <bgColor rgb="FFFFEB9C"/>
        </patternFill>
      </fill>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2">
    <tableStyle name="Catalogue Jaipur-style" pivot="0" count="3" xr9:uid="{00000000-0011-0000-FFFF-FFFF00000000}">
      <tableStyleElement type="headerRow" dxfId="7"/>
      <tableStyleElement type="firstRowStripe" dxfId="6"/>
      <tableStyleElement type="secondRowStripe" dxfId="5"/>
    </tableStyle>
    <tableStyle name="Sheet3-style" pivot="0" count="3" xr9:uid="{00000000-0011-0000-FFFF-FFFF01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24" Type="http://schemas.openxmlformats.org/officeDocument/2006/relationships/theme" Target="theme/theme1.xml"/><Relationship Id="rId5" Type="http://schemas.openxmlformats.org/officeDocument/2006/relationships/worksheet" Target="worksheets/sheet5.xml"/><Relationship Id="rId23" Type="http://customschemas.google.com/relationships/workbookmetadata" Target="metadata"/><Relationship Id="rId4" Type="http://schemas.openxmlformats.org/officeDocument/2006/relationships/worksheet" Target="worksheets/sheet4.xml"/><Relationship Id="rId27"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www.openstreetmap.org/copyright/en" TargetMode="External"/><Relationship Id="rId3" Type="http://schemas.openxmlformats.org/officeDocument/2006/relationships/hyperlink" Target="https://creativecommons.org/share-your-work/public-domain/cc0/" TargetMode="External"/><Relationship Id="rId7" Type="http://schemas.openxmlformats.org/officeDocument/2006/relationships/hyperlink" Target="https://www.ordnancesurvey.co.uk/business-government/public-sector-geospatial-agreement" TargetMode="External"/><Relationship Id="rId2" Type="http://schemas.openxmlformats.org/officeDocument/2006/relationships/hyperlink" Target="https://www.nationalarchives.gov.uk/doc/open-government-licence/version/3/" TargetMode="External"/><Relationship Id="rId1" Type="http://schemas.openxmlformats.org/officeDocument/2006/relationships/hyperlink" Target="https://www.nationalarchives.gov.uk/doc/open-government-licence/version/1/open-government-licence.htm" TargetMode="External"/><Relationship Id="rId6" Type="http://schemas.openxmlformats.org/officeDocument/2006/relationships/hyperlink" Target="https://opendatacommons.org/licenses/by/" TargetMode="External"/><Relationship Id="rId5" Type="http://schemas.openxmlformats.org/officeDocument/2006/relationships/hyperlink" Target="https://creativecommons.org/licenses/by-nc/4.0/legalcode" TargetMode="External"/><Relationship Id="rId4" Type="http://schemas.openxmlformats.org/officeDocument/2006/relationships/hyperlink" Target="https://creativecommons.org/licenses/by/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heetView workbookViewId="1"/>
  </sheetViews>
  <sheetFormatPr baseColWidth="10" defaultColWidth="11.1640625" defaultRowHeight="15" customHeight="1" x14ac:dyDescent="0.2"/>
  <cols>
    <col min="1" max="1" width="19.6640625" customWidth="1"/>
    <col min="2" max="2" width="38.1640625" customWidth="1"/>
    <col min="3" max="26" width="8.6640625" customWidth="1"/>
  </cols>
  <sheetData>
    <row r="1" spans="1:2" x14ac:dyDescent="0.2">
      <c r="A1" s="1" t="s">
        <v>0</v>
      </c>
      <c r="B1" s="1" t="s">
        <v>1</v>
      </c>
    </row>
    <row r="2" spans="1:2" x14ac:dyDescent="0.2">
      <c r="A2" s="2" t="s">
        <v>2</v>
      </c>
      <c r="B2" s="3" t="s">
        <v>3</v>
      </c>
    </row>
    <row r="3" spans="1:2" x14ac:dyDescent="0.2">
      <c r="A3" s="2" t="s">
        <v>4</v>
      </c>
      <c r="B3" s="3" t="s">
        <v>5</v>
      </c>
    </row>
    <row r="4" spans="1:2" x14ac:dyDescent="0.2">
      <c r="A4" s="2" t="s">
        <v>6</v>
      </c>
      <c r="B4" s="3" t="s">
        <v>7</v>
      </c>
    </row>
    <row r="5" spans="1:2" x14ac:dyDescent="0.2">
      <c r="A5" s="2" t="s">
        <v>8</v>
      </c>
      <c r="B5" s="3" t="s">
        <v>9</v>
      </c>
    </row>
    <row r="6" spans="1:2" x14ac:dyDescent="0.2">
      <c r="A6" s="2" t="s">
        <v>10</v>
      </c>
      <c r="B6" s="3" t="s">
        <v>11</v>
      </c>
    </row>
    <row r="7" spans="1:2" x14ac:dyDescent="0.2">
      <c r="A7" s="2" t="s">
        <v>12</v>
      </c>
      <c r="B7" s="3" t="s">
        <v>13</v>
      </c>
    </row>
    <row r="8" spans="1:2" x14ac:dyDescent="0.2">
      <c r="A8" s="2" t="s">
        <v>14</v>
      </c>
      <c r="B8" s="3" t="s">
        <v>15</v>
      </c>
    </row>
    <row r="9" spans="1:2" x14ac:dyDescent="0.2">
      <c r="A9" s="2" t="s">
        <v>16</v>
      </c>
      <c r="B9" s="3" t="s">
        <v>17</v>
      </c>
    </row>
    <row r="10" spans="1:2" x14ac:dyDescent="0.2">
      <c r="A10" s="2" t="s">
        <v>18</v>
      </c>
      <c r="B10" s="3" t="s">
        <v>19</v>
      </c>
    </row>
    <row r="11" spans="1:2" x14ac:dyDescent="0.2">
      <c r="A11" s="2" t="s">
        <v>20</v>
      </c>
      <c r="B11" s="3" t="s">
        <v>21</v>
      </c>
    </row>
    <row r="12" spans="1:2" x14ac:dyDescent="0.2">
      <c r="A12" s="2" t="s">
        <v>22</v>
      </c>
      <c r="B12" s="3" t="s">
        <v>23</v>
      </c>
    </row>
    <row r="13" spans="1:2" x14ac:dyDescent="0.2">
      <c r="A13" s="2" t="s">
        <v>24</v>
      </c>
      <c r="B13" s="3" t="s">
        <v>25</v>
      </c>
    </row>
    <row r="14" spans="1:2" x14ac:dyDescent="0.2">
      <c r="A14" s="2" t="s">
        <v>26</v>
      </c>
      <c r="B14" s="3" t="s">
        <v>27</v>
      </c>
    </row>
    <row r="15" spans="1:2" x14ac:dyDescent="0.2">
      <c r="A15" s="2" t="s">
        <v>28</v>
      </c>
      <c r="B15" s="3" t="s">
        <v>29</v>
      </c>
    </row>
    <row r="16" spans="1:2" x14ac:dyDescent="0.2">
      <c r="A16" s="2" t="s">
        <v>30</v>
      </c>
      <c r="B16" s="3" t="s">
        <v>31</v>
      </c>
    </row>
    <row r="17" spans="1:2" x14ac:dyDescent="0.2">
      <c r="A17" s="2" t="s">
        <v>32</v>
      </c>
      <c r="B17" s="3" t="s">
        <v>33</v>
      </c>
    </row>
    <row r="18" spans="1:2" x14ac:dyDescent="0.2">
      <c r="A18" s="2" t="s">
        <v>34</v>
      </c>
      <c r="B18" s="3" t="s">
        <v>35</v>
      </c>
    </row>
    <row r="19" spans="1:2" x14ac:dyDescent="0.2"/>
    <row r="20" spans="1:2" x14ac:dyDescent="0.2"/>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BE36A-4CCC-2441-BD25-8BF30629F791}">
  <dimension ref="A1:AZ243"/>
  <sheetViews>
    <sheetView tabSelected="1" workbookViewId="0">
      <pane xSplit="3" ySplit="1" topLeftCell="L2" activePane="bottomRight" state="frozen"/>
      <selection pane="topRight" activeCell="D1" sqref="D1"/>
      <selection pane="bottomLeft" activeCell="A2" sqref="A2"/>
      <selection pane="bottomRight" activeCell="X244" sqref="X244"/>
    </sheetView>
    <sheetView workbookViewId="1"/>
  </sheetViews>
  <sheetFormatPr baseColWidth="10" defaultColWidth="10.83203125" defaultRowHeight="16" x14ac:dyDescent="0.2"/>
  <cols>
    <col min="1" max="1" width="4.1640625" style="23" bestFit="1" customWidth="1"/>
    <col min="2" max="2" width="10.83203125" style="23"/>
    <col min="3" max="3" width="33.1640625" style="23" customWidth="1"/>
    <col min="4" max="4" width="10.83203125" style="23"/>
    <col min="5" max="5" width="31.1640625" style="23" customWidth="1"/>
    <col min="6" max="10" width="10.83203125" style="23"/>
    <col min="11" max="11" width="43.6640625" style="23" customWidth="1"/>
    <col min="12" max="12" width="45.1640625" style="23" customWidth="1"/>
    <col min="13" max="13" width="38.5" style="23" customWidth="1"/>
    <col min="14" max="14" width="11.83203125" style="23" customWidth="1"/>
    <col min="15" max="21" width="10.83203125" style="23"/>
    <col min="22" max="22" width="18.33203125" style="23" customWidth="1"/>
    <col min="23" max="16384" width="10.83203125" style="23"/>
  </cols>
  <sheetData>
    <row r="1" spans="1:52" x14ac:dyDescent="0.2">
      <c r="A1" s="22" t="s">
        <v>36</v>
      </c>
      <c r="B1" s="22" t="s">
        <v>37</v>
      </c>
      <c r="C1" s="22" t="s">
        <v>38</v>
      </c>
      <c r="D1" s="22" t="s">
        <v>39</v>
      </c>
      <c r="E1" s="22" t="s">
        <v>40</v>
      </c>
      <c r="F1" s="22" t="s">
        <v>41</v>
      </c>
      <c r="G1" s="22" t="s">
        <v>42</v>
      </c>
      <c r="H1" s="22" t="s">
        <v>43</v>
      </c>
      <c r="I1" s="22" t="s">
        <v>44</v>
      </c>
      <c r="J1" s="22" t="s">
        <v>45</v>
      </c>
      <c r="K1" s="22" t="s">
        <v>46</v>
      </c>
      <c r="L1" s="22" t="s">
        <v>47</v>
      </c>
      <c r="M1" s="22" t="s">
        <v>48</v>
      </c>
      <c r="N1" s="22" t="s">
        <v>49</v>
      </c>
      <c r="O1" s="22" t="s">
        <v>50</v>
      </c>
      <c r="P1" s="22" t="s">
        <v>51</v>
      </c>
      <c r="Q1" s="22" t="s">
        <v>52</v>
      </c>
      <c r="R1" s="22" t="s">
        <v>53</v>
      </c>
      <c r="S1" s="22" t="s">
        <v>54</v>
      </c>
      <c r="T1" s="22" t="s">
        <v>55</v>
      </c>
      <c r="U1" s="22" t="s">
        <v>56</v>
      </c>
      <c r="V1" s="22" t="s">
        <v>57</v>
      </c>
      <c r="W1" s="22" t="s">
        <v>58</v>
      </c>
      <c r="X1" s="22" t="s">
        <v>59</v>
      </c>
      <c r="Y1" s="22" t="s">
        <v>60</v>
      </c>
      <c r="Z1" s="22" t="s">
        <v>61</v>
      </c>
      <c r="AA1" s="22" t="s">
        <v>62</v>
      </c>
      <c r="AB1" s="22" t="s">
        <v>63</v>
      </c>
      <c r="AC1" s="22" t="s">
        <v>64</v>
      </c>
      <c r="AD1" s="22" t="s">
        <v>65</v>
      </c>
      <c r="AE1" s="22" t="s">
        <v>66</v>
      </c>
      <c r="AF1" s="22" t="s">
        <v>67</v>
      </c>
      <c r="AG1" s="22" t="s">
        <v>68</v>
      </c>
      <c r="AH1" s="22" t="s">
        <v>69</v>
      </c>
      <c r="AI1" s="22" t="s">
        <v>70</v>
      </c>
      <c r="AJ1" s="22" t="s">
        <v>71</v>
      </c>
      <c r="AK1" s="22" t="s">
        <v>72</v>
      </c>
      <c r="AL1" s="22" t="s">
        <v>73</v>
      </c>
      <c r="AM1" s="22" t="s">
        <v>74</v>
      </c>
      <c r="AN1" s="22" t="s">
        <v>75</v>
      </c>
      <c r="AO1" s="22" t="s">
        <v>76</v>
      </c>
      <c r="AP1" s="22" t="s">
        <v>77</v>
      </c>
      <c r="AQ1" s="22" t="s">
        <v>78</v>
      </c>
      <c r="AR1" s="22" t="s">
        <v>79</v>
      </c>
      <c r="AS1" s="22" t="s">
        <v>80</v>
      </c>
      <c r="AT1" s="22" t="s">
        <v>81</v>
      </c>
      <c r="AU1" s="22" t="s">
        <v>82</v>
      </c>
      <c r="AV1" s="22" t="s">
        <v>83</v>
      </c>
      <c r="AW1" s="22" t="s">
        <v>84</v>
      </c>
      <c r="AX1" s="22" t="s">
        <v>85</v>
      </c>
      <c r="AY1" s="22" t="s">
        <v>86</v>
      </c>
      <c r="AZ1" s="22" t="s">
        <v>87</v>
      </c>
    </row>
    <row r="2" spans="1:52" x14ac:dyDescent="0.2">
      <c r="A2" s="23">
        <v>1</v>
      </c>
      <c r="B2" s="23" t="s">
        <v>88</v>
      </c>
      <c r="C2" s="23" t="s">
        <v>89</v>
      </c>
      <c r="D2" s="23" t="b">
        <v>1</v>
      </c>
      <c r="E2" s="23" t="s">
        <v>90</v>
      </c>
      <c r="F2" s="23" t="s">
        <v>91</v>
      </c>
      <c r="G2" s="23" t="s">
        <v>92</v>
      </c>
      <c r="H2" s="23" t="s">
        <v>93</v>
      </c>
      <c r="I2" s="23" t="s">
        <v>94</v>
      </c>
      <c r="J2" s="23" t="s">
        <v>95</v>
      </c>
      <c r="K2" s="23" t="s">
        <v>96</v>
      </c>
      <c r="Q2" s="23">
        <v>2011</v>
      </c>
      <c r="R2" s="23" t="s">
        <v>99</v>
      </c>
      <c r="T2" s="23" t="s">
        <v>100</v>
      </c>
      <c r="U2" s="23" t="s">
        <v>101</v>
      </c>
      <c r="V2" s="23" t="s">
        <v>102</v>
      </c>
      <c r="W2" s="23" t="s">
        <v>103</v>
      </c>
      <c r="X2" s="23" t="s">
        <v>104</v>
      </c>
      <c r="Y2" s="23" t="b">
        <f>ISNUMBER(SEARCH("Public transport accessibility", $M2))</f>
        <v>0</v>
      </c>
      <c r="Z2" s="23" t="b">
        <f>ISNUMBER(SEARCH("Coverage by cycling facilities", $M2))</f>
        <v>0</v>
      </c>
      <c r="AA2" s="23" t="b">
        <f>ISNUMBER(SEARCH("Coverage of the drainage system", $M2))</f>
        <v>0</v>
      </c>
      <c r="AB2" s="23" t="b">
        <f>ISNUMBER(SEARCH("Parking management", $M2))</f>
        <v>0</v>
      </c>
      <c r="AC2" s="23" t="b">
        <f>ISNUMBER(SEARCH("Reduction of private vehicles", $M2))</f>
        <v>0</v>
      </c>
      <c r="AD2" s="23" t="b">
        <f>ISNUMBER(SEARCH("Decline in accidents", $M2))</f>
        <v>0</v>
      </c>
      <c r="AE2" s="23" t="b">
        <f>ISNUMBER(SEARCH("Walking and cycling", $M2))</f>
        <v>0</v>
      </c>
      <c r="AF2" s="23" t="b">
        <f>ISNUMBER(SEARCH("Public transport ridershi", $M2))</f>
        <v>0</v>
      </c>
      <c r="AG2" s="23" t="b">
        <f>ISNUMBER(SEARCH("Last-mile use of intermediate public transport", $M2))</f>
        <v>0</v>
      </c>
      <c r="AH2" s="23" t="b">
        <f>ISNUMBER(SEARCH("Walkability", $M2))</f>
        <v>0</v>
      </c>
      <c r="AI2" s="23" t="b">
        <f>ISNUMBER(SEARCH("Supply of public transport vehicles", $M2))</f>
        <v>0</v>
      </c>
      <c r="AJ2" s="23" t="b">
        <v>0</v>
      </c>
      <c r="AK2" s="23" t="b">
        <f>ISNUMBER(SEARCH("Local traffic flow", $M2))</f>
        <v>0</v>
      </c>
      <c r="AL2" s="23" t="b">
        <f>ISNUMBER(SEARCH("Organised road use", $M2))</f>
        <v>0</v>
      </c>
      <c r="AM2" s="23" t="b">
        <f>ISNUMBER(SEARCH("Trained drivers", $M2))</f>
        <v>0</v>
      </c>
      <c r="AN2" s="23" t="b">
        <f>ISNUMBER(SEARCH("Transport-related investment", $M2))</f>
        <v>0</v>
      </c>
      <c r="AO2" s="23" t="b">
        <f>ISNUMBER(SEARCH("Motor vehicle traffic reduction", $M2))</f>
        <v>0</v>
      </c>
      <c r="AP2" s="23" t="b">
        <f>ISNUMBER(SEARCH("public transport supply", $L2))</f>
        <v>0</v>
      </c>
      <c r="AQ2" s="23" t="b">
        <f>ISNUMBER(SEARCH("safety and comfort", $L2))</f>
        <v>0</v>
      </c>
      <c r="AR2" s="23" t="b">
        <f>ISNUMBER(SEARCH("effective enforcement", $L2))</f>
        <v>0</v>
      </c>
      <c r="AS2" s="23" t="b">
        <f t="shared" ref="AQ2:AW2" si="0">ISNUMBER(SEARCH("Walkability", $L2))</f>
        <v>0</v>
      </c>
      <c r="AT2" s="23" t="b">
        <f>ISNUMBER(SEARCH("sustainable mobility", $L2))</f>
        <v>0</v>
      </c>
      <c r="AU2" s="23" t="b">
        <f>ISNUMBER(SEARCH("inclusive mobility", $L2))</f>
        <v>0</v>
      </c>
      <c r="AV2" s="23" t="b">
        <f>ISNUMBER(SEARCH("health and safety", $L2))</f>
        <v>0</v>
      </c>
      <c r="AW2" s="23" t="b">
        <f>ISNUMBER(SEARCH("sustainable transport funding", $L2))</f>
        <v>0</v>
      </c>
      <c r="AX2" s="23" t="s">
        <v>99</v>
      </c>
      <c r="AY2" s="23" t="b">
        <v>0</v>
      </c>
      <c r="AZ2" s="23" t="s">
        <v>105</v>
      </c>
    </row>
    <row r="3" spans="1:52" x14ac:dyDescent="0.2">
      <c r="A3" s="23">
        <v>2</v>
      </c>
      <c r="B3" s="23" t="s">
        <v>88</v>
      </c>
      <c r="C3" s="23" t="s">
        <v>106</v>
      </c>
      <c r="D3" s="23" t="b">
        <v>1</v>
      </c>
      <c r="E3" s="23" t="s">
        <v>107</v>
      </c>
      <c r="F3" s="23" t="s">
        <v>108</v>
      </c>
      <c r="G3" s="23" t="s">
        <v>92</v>
      </c>
      <c r="H3" s="23" t="s">
        <v>93</v>
      </c>
      <c r="I3" s="23" t="s">
        <v>109</v>
      </c>
      <c r="J3" s="23" t="s">
        <v>95</v>
      </c>
      <c r="K3" s="23" t="s">
        <v>96</v>
      </c>
      <c r="Q3" s="23">
        <v>2011</v>
      </c>
      <c r="R3" s="23" t="s">
        <v>99</v>
      </c>
      <c r="T3" s="23" t="s">
        <v>110</v>
      </c>
      <c r="U3" s="23" t="s">
        <v>111</v>
      </c>
      <c r="V3" s="23" t="s">
        <v>112</v>
      </c>
      <c r="W3" s="23" t="s">
        <v>103</v>
      </c>
      <c r="X3" s="23" t="s">
        <v>104</v>
      </c>
      <c r="Y3" s="23" t="b">
        <f t="shared" ref="Y3:Y66" si="1">ISNUMBER(SEARCH("Public transport accessibility", $M3))</f>
        <v>0</v>
      </c>
      <c r="Z3" s="23" t="b">
        <f t="shared" ref="Z3:Z66" si="2">ISNUMBER(SEARCH("Coverage by cycling facilities", $M3))</f>
        <v>0</v>
      </c>
      <c r="AA3" s="23" t="b">
        <f t="shared" ref="AA3:AA66" si="3">ISNUMBER(SEARCH("Coverage of the drainage system", $M3))</f>
        <v>0</v>
      </c>
      <c r="AB3" s="23" t="b">
        <f t="shared" ref="AB3:AB66" si="4">ISNUMBER(SEARCH("Parking management", $M3))</f>
        <v>0</v>
      </c>
      <c r="AC3" s="23" t="b">
        <f t="shared" ref="AC3:AC66" si="5">ISNUMBER(SEARCH("Reduction of private vehicles", $M3))</f>
        <v>0</v>
      </c>
      <c r="AD3" s="23" t="b">
        <f t="shared" ref="AD3:AD66" si="6">ISNUMBER(SEARCH("Decline in accidents", $M3))</f>
        <v>0</v>
      </c>
      <c r="AE3" s="23" t="b">
        <f t="shared" ref="AE3:AE66" si="7">ISNUMBER(SEARCH("Walking and cycling", $M3))</f>
        <v>0</v>
      </c>
      <c r="AF3" s="23" t="b">
        <f t="shared" ref="AF3:AF66" si="8">ISNUMBER(SEARCH("Public transport ridershi", $M3))</f>
        <v>0</v>
      </c>
      <c r="AG3" s="23" t="b">
        <f t="shared" ref="AG3:AG66" si="9">ISNUMBER(SEARCH("Last-mile use of intermediate public transport", $M3))</f>
        <v>0</v>
      </c>
      <c r="AH3" s="23" t="b">
        <f t="shared" ref="AH3:AH66" si="10">ISNUMBER(SEARCH("Walkability", $M3))</f>
        <v>0</v>
      </c>
      <c r="AI3" s="23" t="b">
        <f t="shared" ref="AI3:AI66" si="11">ISNUMBER(SEARCH("Supply of public transport vehicles", $M3))</f>
        <v>0</v>
      </c>
      <c r="AJ3" s="23" t="b">
        <v>0</v>
      </c>
      <c r="AK3" s="23" t="b">
        <f t="shared" ref="AK3:AK66" si="12">ISNUMBER(SEARCH("Local traffic flow", $M3))</f>
        <v>0</v>
      </c>
      <c r="AL3" s="23" t="b">
        <f t="shared" ref="AL3:AL66" si="13">ISNUMBER(SEARCH("Organised road use", $M3))</f>
        <v>0</v>
      </c>
      <c r="AM3" s="23" t="b">
        <f t="shared" ref="AM3:AM66" si="14">ISNUMBER(SEARCH("Trained drivers", $M3))</f>
        <v>0</v>
      </c>
      <c r="AN3" s="23" t="b">
        <f t="shared" ref="AN3:AN66" si="15">ISNUMBER(SEARCH("Transport-related investment", $M3))</f>
        <v>0</v>
      </c>
      <c r="AO3" s="23" t="b">
        <f t="shared" ref="AO3:AO66" si="16">ISNUMBER(SEARCH("Motor vehicle traffic reduction", $M3))</f>
        <v>0</v>
      </c>
      <c r="AP3" s="23" t="b">
        <f t="shared" ref="AP3:AP66" si="17">ISNUMBER(SEARCH("public transport supply", $L3))</f>
        <v>0</v>
      </c>
      <c r="AQ3" s="23" t="b">
        <f t="shared" ref="AQ3:AQ66" si="18">ISNUMBER(SEARCH("safety and comfort", $L3))</f>
        <v>0</v>
      </c>
      <c r="AR3" s="23" t="b">
        <f t="shared" ref="AR3:AR66" si="19">ISNUMBER(SEARCH("effective enforcement", $L3))</f>
        <v>0</v>
      </c>
      <c r="AS3" s="23" t="b">
        <v>0</v>
      </c>
      <c r="AT3" s="23" t="b">
        <f t="shared" ref="AT3:AT66" si="20">ISNUMBER(SEARCH("sustainable mobility", $L3))</f>
        <v>0</v>
      </c>
      <c r="AU3" s="23" t="b">
        <f t="shared" ref="AU3:AU66" si="21">ISNUMBER(SEARCH("inclusive mobility", $L3))</f>
        <v>0</v>
      </c>
      <c r="AV3" s="23" t="b">
        <f t="shared" ref="AV3:AV66" si="22">ISNUMBER(SEARCH("health and safety", $L3))</f>
        <v>0</v>
      </c>
      <c r="AW3" s="23" t="b">
        <f t="shared" ref="AW3:AW66" si="23">ISNUMBER(SEARCH("sustainable transport funding", $L3))</f>
        <v>0</v>
      </c>
      <c r="AX3" s="23" t="s">
        <v>99</v>
      </c>
      <c r="AY3" s="23" t="b">
        <v>0</v>
      </c>
      <c r="AZ3" s="23" t="s">
        <v>105</v>
      </c>
    </row>
    <row r="4" spans="1:52" x14ac:dyDescent="0.2">
      <c r="A4" s="23">
        <v>3</v>
      </c>
      <c r="B4" s="23" t="s">
        <v>88</v>
      </c>
      <c r="C4" s="23" t="s">
        <v>113</v>
      </c>
      <c r="D4" s="23" t="b">
        <v>1</v>
      </c>
      <c r="E4" s="23" t="s">
        <v>114</v>
      </c>
      <c r="F4" s="23" t="s">
        <v>115</v>
      </c>
      <c r="G4" s="23" t="s">
        <v>92</v>
      </c>
      <c r="H4" s="23" t="s">
        <v>116</v>
      </c>
      <c r="I4" s="23" t="s">
        <v>117</v>
      </c>
      <c r="J4" s="23" t="s">
        <v>95</v>
      </c>
      <c r="K4" s="23" t="s">
        <v>118</v>
      </c>
      <c r="P4" s="23">
        <v>1989</v>
      </c>
      <c r="Q4" s="23">
        <v>2014</v>
      </c>
      <c r="R4" s="23" t="s">
        <v>119</v>
      </c>
      <c r="T4" s="23" t="s">
        <v>120</v>
      </c>
      <c r="U4" s="23" t="s">
        <v>111</v>
      </c>
      <c r="V4" s="23" t="s">
        <v>112</v>
      </c>
      <c r="W4" s="23" t="s">
        <v>121</v>
      </c>
      <c r="X4" s="23" t="s">
        <v>104</v>
      </c>
      <c r="Y4" s="23" t="b">
        <f t="shared" si="1"/>
        <v>0</v>
      </c>
      <c r="Z4" s="23" t="b">
        <f t="shared" si="2"/>
        <v>0</v>
      </c>
      <c r="AA4" s="23" t="b">
        <f t="shared" si="3"/>
        <v>0</v>
      </c>
      <c r="AB4" s="23" t="b">
        <f t="shared" si="4"/>
        <v>0</v>
      </c>
      <c r="AC4" s="23" t="b">
        <f t="shared" si="5"/>
        <v>0</v>
      </c>
      <c r="AD4" s="23" t="b">
        <f t="shared" si="6"/>
        <v>0</v>
      </c>
      <c r="AE4" s="23" t="b">
        <f t="shared" si="7"/>
        <v>0</v>
      </c>
      <c r="AF4" s="23" t="b">
        <f t="shared" si="8"/>
        <v>0</v>
      </c>
      <c r="AG4" s="23" t="b">
        <f t="shared" si="9"/>
        <v>0</v>
      </c>
      <c r="AH4" s="23" t="b">
        <f t="shared" si="10"/>
        <v>0</v>
      </c>
      <c r="AI4" s="23" t="b">
        <f t="shared" si="11"/>
        <v>0</v>
      </c>
      <c r="AJ4" s="23" t="b">
        <v>0</v>
      </c>
      <c r="AK4" s="23" t="b">
        <f t="shared" si="12"/>
        <v>0</v>
      </c>
      <c r="AL4" s="23" t="b">
        <f t="shared" si="13"/>
        <v>0</v>
      </c>
      <c r="AM4" s="23" t="b">
        <f t="shared" si="14"/>
        <v>0</v>
      </c>
      <c r="AN4" s="23" t="b">
        <f t="shared" si="15"/>
        <v>0</v>
      </c>
      <c r="AO4" s="23" t="b">
        <f t="shared" si="16"/>
        <v>0</v>
      </c>
      <c r="AP4" s="23" t="b">
        <f t="shared" si="17"/>
        <v>0</v>
      </c>
      <c r="AQ4" s="23" t="b">
        <f t="shared" si="18"/>
        <v>0</v>
      </c>
      <c r="AR4" s="23" t="b">
        <f t="shared" si="19"/>
        <v>0</v>
      </c>
      <c r="AS4" s="23" t="b">
        <v>0</v>
      </c>
      <c r="AT4" s="23" t="b">
        <f t="shared" si="20"/>
        <v>0</v>
      </c>
      <c r="AU4" s="23" t="b">
        <f t="shared" si="21"/>
        <v>0</v>
      </c>
      <c r="AV4" s="23" t="b">
        <f t="shared" si="22"/>
        <v>0</v>
      </c>
      <c r="AW4" s="23" t="b">
        <f t="shared" si="23"/>
        <v>0</v>
      </c>
      <c r="AX4" s="23" t="s">
        <v>99</v>
      </c>
      <c r="AY4" s="23" t="b">
        <v>0</v>
      </c>
      <c r="AZ4" s="23" t="s">
        <v>105</v>
      </c>
    </row>
    <row r="5" spans="1:52" x14ac:dyDescent="0.2">
      <c r="A5" s="23">
        <v>4</v>
      </c>
      <c r="B5" s="23" t="s">
        <v>88</v>
      </c>
      <c r="C5" s="23" t="s">
        <v>122</v>
      </c>
      <c r="D5" s="23" t="b">
        <v>1</v>
      </c>
      <c r="E5" s="23" t="s">
        <v>123</v>
      </c>
      <c r="F5" s="23" t="s">
        <v>124</v>
      </c>
      <c r="G5" s="23" t="s">
        <v>92</v>
      </c>
      <c r="H5" s="23" t="s">
        <v>93</v>
      </c>
      <c r="I5" s="23" t="s">
        <v>125</v>
      </c>
      <c r="J5" s="23" t="s">
        <v>95</v>
      </c>
      <c r="K5" s="23" t="s">
        <v>96</v>
      </c>
      <c r="L5" s="23" t="s">
        <v>126</v>
      </c>
      <c r="Q5" s="23">
        <v>2001</v>
      </c>
      <c r="R5" s="23" t="s">
        <v>99</v>
      </c>
      <c r="T5" s="23" t="s">
        <v>100</v>
      </c>
      <c r="U5" s="23" t="s">
        <v>101</v>
      </c>
      <c r="V5" s="23" t="s">
        <v>102</v>
      </c>
      <c r="W5" s="23" t="s">
        <v>103</v>
      </c>
      <c r="X5" s="23" t="s">
        <v>104</v>
      </c>
      <c r="Y5" s="23" t="b">
        <f t="shared" si="1"/>
        <v>0</v>
      </c>
      <c r="Z5" s="23" t="b">
        <f t="shared" si="2"/>
        <v>0</v>
      </c>
      <c r="AA5" s="23" t="b">
        <f t="shared" si="3"/>
        <v>0</v>
      </c>
      <c r="AB5" s="23" t="b">
        <f t="shared" si="4"/>
        <v>0</v>
      </c>
      <c r="AC5" s="23" t="b">
        <f t="shared" si="5"/>
        <v>0</v>
      </c>
      <c r="AD5" s="23" t="b">
        <f t="shared" si="6"/>
        <v>0</v>
      </c>
      <c r="AE5" s="23" t="b">
        <f t="shared" si="7"/>
        <v>0</v>
      </c>
      <c r="AF5" s="23" t="b">
        <f t="shared" si="8"/>
        <v>0</v>
      </c>
      <c r="AG5" s="23" t="b">
        <f t="shared" si="9"/>
        <v>0</v>
      </c>
      <c r="AH5" s="23" t="b">
        <f t="shared" si="10"/>
        <v>0</v>
      </c>
      <c r="AI5" s="23" t="b">
        <f t="shared" si="11"/>
        <v>0</v>
      </c>
      <c r="AJ5" s="23" t="b">
        <v>0</v>
      </c>
      <c r="AK5" s="23" t="b">
        <f t="shared" si="12"/>
        <v>0</v>
      </c>
      <c r="AL5" s="23" t="b">
        <f t="shared" si="13"/>
        <v>0</v>
      </c>
      <c r="AM5" s="23" t="b">
        <f t="shared" si="14"/>
        <v>0</v>
      </c>
      <c r="AN5" s="23" t="b">
        <f t="shared" si="15"/>
        <v>0</v>
      </c>
      <c r="AO5" s="23" t="b">
        <f t="shared" si="16"/>
        <v>0</v>
      </c>
      <c r="AP5" s="23" t="b">
        <f t="shared" si="17"/>
        <v>1</v>
      </c>
      <c r="AQ5" s="23" t="b">
        <f t="shared" si="18"/>
        <v>1</v>
      </c>
      <c r="AR5" s="23" t="b">
        <f t="shared" si="19"/>
        <v>1</v>
      </c>
      <c r="AS5" s="23" t="b">
        <v>0</v>
      </c>
      <c r="AT5" s="23" t="b">
        <f t="shared" si="20"/>
        <v>0</v>
      </c>
      <c r="AU5" s="23" t="b">
        <f t="shared" si="21"/>
        <v>0</v>
      </c>
      <c r="AV5" s="23" t="b">
        <f t="shared" si="22"/>
        <v>0</v>
      </c>
      <c r="AW5" s="23" t="b">
        <f t="shared" si="23"/>
        <v>0</v>
      </c>
      <c r="AX5" s="23" t="s">
        <v>99</v>
      </c>
      <c r="AY5" s="23" t="b">
        <v>0</v>
      </c>
      <c r="AZ5" s="23" t="s">
        <v>105</v>
      </c>
    </row>
    <row r="6" spans="1:52" x14ac:dyDescent="0.2">
      <c r="A6" s="23">
        <v>5</v>
      </c>
      <c r="B6" s="23" t="s">
        <v>88</v>
      </c>
      <c r="C6" s="23" t="s">
        <v>127</v>
      </c>
      <c r="D6" s="23" t="b">
        <v>1</v>
      </c>
      <c r="E6" s="23" t="s">
        <v>128</v>
      </c>
      <c r="F6" s="23" t="s">
        <v>129</v>
      </c>
      <c r="G6" s="23" t="s">
        <v>92</v>
      </c>
      <c r="H6" s="23" t="s">
        <v>93</v>
      </c>
      <c r="I6" s="23" t="s">
        <v>130</v>
      </c>
      <c r="J6" s="23" t="s">
        <v>95</v>
      </c>
      <c r="K6" s="23" t="s">
        <v>96</v>
      </c>
      <c r="Q6" s="23">
        <v>2001</v>
      </c>
      <c r="R6" s="23" t="s">
        <v>132</v>
      </c>
      <c r="T6" s="23" t="s">
        <v>100</v>
      </c>
      <c r="U6" s="23" t="s">
        <v>101</v>
      </c>
      <c r="V6" s="23" t="s">
        <v>102</v>
      </c>
      <c r="W6" s="23" t="s">
        <v>103</v>
      </c>
      <c r="X6" s="23" t="s">
        <v>104</v>
      </c>
      <c r="Y6" s="23" t="b">
        <f t="shared" si="1"/>
        <v>0</v>
      </c>
      <c r="Z6" s="23" t="b">
        <f t="shared" si="2"/>
        <v>0</v>
      </c>
      <c r="AA6" s="23" t="b">
        <f t="shared" si="3"/>
        <v>0</v>
      </c>
      <c r="AB6" s="23" t="b">
        <f t="shared" si="4"/>
        <v>0</v>
      </c>
      <c r="AC6" s="23" t="b">
        <f t="shared" si="5"/>
        <v>0</v>
      </c>
      <c r="AD6" s="23" t="b">
        <f t="shared" si="6"/>
        <v>0</v>
      </c>
      <c r="AE6" s="23" t="b">
        <f t="shared" si="7"/>
        <v>0</v>
      </c>
      <c r="AF6" s="23" t="b">
        <f t="shared" si="8"/>
        <v>0</v>
      </c>
      <c r="AG6" s="23" t="b">
        <f t="shared" si="9"/>
        <v>0</v>
      </c>
      <c r="AH6" s="23" t="b">
        <f t="shared" si="10"/>
        <v>0</v>
      </c>
      <c r="AI6" s="23" t="b">
        <f t="shared" si="11"/>
        <v>0</v>
      </c>
      <c r="AJ6" s="23" t="b">
        <v>0</v>
      </c>
      <c r="AK6" s="23" t="b">
        <f t="shared" si="12"/>
        <v>0</v>
      </c>
      <c r="AL6" s="23" t="b">
        <f t="shared" si="13"/>
        <v>0</v>
      </c>
      <c r="AM6" s="23" t="b">
        <f t="shared" si="14"/>
        <v>0</v>
      </c>
      <c r="AN6" s="23" t="b">
        <f t="shared" si="15"/>
        <v>0</v>
      </c>
      <c r="AO6" s="23" t="b">
        <f t="shared" si="16"/>
        <v>0</v>
      </c>
      <c r="AP6" s="23" t="b">
        <f t="shared" si="17"/>
        <v>0</v>
      </c>
      <c r="AQ6" s="23" t="b">
        <f t="shared" si="18"/>
        <v>0</v>
      </c>
      <c r="AR6" s="23" t="b">
        <f t="shared" si="19"/>
        <v>0</v>
      </c>
      <c r="AS6" s="23" t="b">
        <v>0</v>
      </c>
      <c r="AT6" s="23" t="b">
        <f t="shared" si="20"/>
        <v>0</v>
      </c>
      <c r="AU6" s="23" t="b">
        <f t="shared" si="21"/>
        <v>0</v>
      </c>
      <c r="AV6" s="23" t="b">
        <f t="shared" si="22"/>
        <v>0</v>
      </c>
      <c r="AW6" s="23" t="b">
        <f t="shared" si="23"/>
        <v>0</v>
      </c>
      <c r="AX6" s="23" t="s">
        <v>132</v>
      </c>
      <c r="AY6" s="23" t="b">
        <v>0</v>
      </c>
      <c r="AZ6" s="23" t="s">
        <v>105</v>
      </c>
    </row>
    <row r="7" spans="1:52" x14ac:dyDescent="0.2">
      <c r="A7" s="23">
        <v>6</v>
      </c>
      <c r="B7" s="23" t="s">
        <v>88</v>
      </c>
      <c r="C7" s="23" t="s">
        <v>133</v>
      </c>
      <c r="D7" s="23" t="b">
        <v>1</v>
      </c>
      <c r="E7" s="23" t="s">
        <v>134</v>
      </c>
      <c r="F7" s="23" t="s">
        <v>135</v>
      </c>
      <c r="G7" s="23" t="s">
        <v>92</v>
      </c>
      <c r="H7" s="23" t="s">
        <v>116</v>
      </c>
      <c r="I7" s="23" t="s">
        <v>136</v>
      </c>
      <c r="J7" s="23" t="s">
        <v>95</v>
      </c>
      <c r="K7" s="23" t="s">
        <v>118</v>
      </c>
      <c r="Q7" s="23">
        <v>2011</v>
      </c>
      <c r="R7" s="23" t="s">
        <v>99</v>
      </c>
      <c r="T7" s="23" t="s">
        <v>100</v>
      </c>
      <c r="U7" s="23" t="s">
        <v>101</v>
      </c>
      <c r="V7" s="23" t="s">
        <v>102</v>
      </c>
      <c r="W7" s="23" t="s">
        <v>121</v>
      </c>
      <c r="X7" s="23" t="s">
        <v>104</v>
      </c>
      <c r="Y7" s="23" t="b">
        <f t="shared" si="1"/>
        <v>0</v>
      </c>
      <c r="Z7" s="23" t="b">
        <f t="shared" si="2"/>
        <v>0</v>
      </c>
      <c r="AA7" s="23" t="b">
        <f t="shared" si="3"/>
        <v>0</v>
      </c>
      <c r="AB7" s="23" t="b">
        <f t="shared" si="4"/>
        <v>0</v>
      </c>
      <c r="AC7" s="23" t="b">
        <f t="shared" si="5"/>
        <v>0</v>
      </c>
      <c r="AD7" s="23" t="b">
        <f t="shared" si="6"/>
        <v>0</v>
      </c>
      <c r="AE7" s="23" t="b">
        <f t="shared" si="7"/>
        <v>0</v>
      </c>
      <c r="AF7" s="23" t="b">
        <f t="shared" si="8"/>
        <v>0</v>
      </c>
      <c r="AG7" s="23" t="b">
        <f t="shared" si="9"/>
        <v>0</v>
      </c>
      <c r="AH7" s="23" t="b">
        <f t="shared" si="10"/>
        <v>0</v>
      </c>
      <c r="AI7" s="23" t="b">
        <f t="shared" si="11"/>
        <v>0</v>
      </c>
      <c r="AJ7" s="23" t="b">
        <v>0</v>
      </c>
      <c r="AK7" s="23" t="b">
        <f t="shared" si="12"/>
        <v>0</v>
      </c>
      <c r="AL7" s="23" t="b">
        <f t="shared" si="13"/>
        <v>0</v>
      </c>
      <c r="AM7" s="23" t="b">
        <f t="shared" si="14"/>
        <v>0</v>
      </c>
      <c r="AN7" s="23" t="b">
        <f t="shared" si="15"/>
        <v>0</v>
      </c>
      <c r="AO7" s="23" t="b">
        <f t="shared" si="16"/>
        <v>0</v>
      </c>
      <c r="AP7" s="23" t="b">
        <f t="shared" si="17"/>
        <v>0</v>
      </c>
      <c r="AQ7" s="23" t="b">
        <f t="shared" si="18"/>
        <v>0</v>
      </c>
      <c r="AR7" s="23" t="b">
        <f t="shared" si="19"/>
        <v>0</v>
      </c>
      <c r="AS7" s="23" t="b">
        <v>0</v>
      </c>
      <c r="AT7" s="23" t="b">
        <f t="shared" si="20"/>
        <v>0</v>
      </c>
      <c r="AU7" s="23" t="b">
        <f t="shared" si="21"/>
        <v>0</v>
      </c>
      <c r="AV7" s="23" t="b">
        <f t="shared" si="22"/>
        <v>0</v>
      </c>
      <c r="AW7" s="23" t="b">
        <f t="shared" si="23"/>
        <v>0</v>
      </c>
      <c r="AX7" s="23" t="s">
        <v>99</v>
      </c>
      <c r="AY7" s="23" t="b">
        <v>0</v>
      </c>
      <c r="AZ7" s="23" t="s">
        <v>105</v>
      </c>
    </row>
    <row r="8" spans="1:52" x14ac:dyDescent="0.2">
      <c r="A8" s="23">
        <v>7</v>
      </c>
      <c r="B8" s="23" t="s">
        <v>88</v>
      </c>
      <c r="C8" s="23" t="s">
        <v>137</v>
      </c>
      <c r="D8" s="23" t="b">
        <v>1</v>
      </c>
      <c r="E8" s="23" t="s">
        <v>138</v>
      </c>
      <c r="F8" s="23" t="s">
        <v>139</v>
      </c>
      <c r="G8" s="23" t="s">
        <v>92</v>
      </c>
      <c r="H8" s="23" t="s">
        <v>116</v>
      </c>
      <c r="I8" s="23" t="s">
        <v>140</v>
      </c>
      <c r="J8" s="23" t="s">
        <v>95</v>
      </c>
      <c r="K8" s="23" t="s">
        <v>118</v>
      </c>
      <c r="Q8" s="23">
        <v>2018</v>
      </c>
      <c r="R8" s="23" t="s">
        <v>99</v>
      </c>
      <c r="T8" s="23" t="s">
        <v>141</v>
      </c>
      <c r="U8" s="23" t="s">
        <v>111</v>
      </c>
      <c r="V8" s="23" t="s">
        <v>112</v>
      </c>
      <c r="W8" s="23" t="s">
        <v>121</v>
      </c>
      <c r="X8" s="23" t="s">
        <v>104</v>
      </c>
      <c r="Y8" s="23" t="b">
        <f t="shared" si="1"/>
        <v>0</v>
      </c>
      <c r="Z8" s="23" t="b">
        <f t="shared" si="2"/>
        <v>0</v>
      </c>
      <c r="AA8" s="23" t="b">
        <f t="shared" si="3"/>
        <v>0</v>
      </c>
      <c r="AB8" s="23" t="b">
        <f t="shared" si="4"/>
        <v>0</v>
      </c>
      <c r="AC8" s="23" t="b">
        <f t="shared" si="5"/>
        <v>0</v>
      </c>
      <c r="AD8" s="23" t="b">
        <f t="shared" si="6"/>
        <v>0</v>
      </c>
      <c r="AE8" s="23" t="b">
        <f t="shared" si="7"/>
        <v>0</v>
      </c>
      <c r="AF8" s="23" t="b">
        <f t="shared" si="8"/>
        <v>0</v>
      </c>
      <c r="AG8" s="23" t="b">
        <f t="shared" si="9"/>
        <v>0</v>
      </c>
      <c r="AH8" s="23" t="b">
        <f t="shared" si="10"/>
        <v>0</v>
      </c>
      <c r="AI8" s="23" t="b">
        <f t="shared" si="11"/>
        <v>0</v>
      </c>
      <c r="AJ8" s="23" t="b">
        <v>0</v>
      </c>
      <c r="AK8" s="23" t="b">
        <f t="shared" si="12"/>
        <v>0</v>
      </c>
      <c r="AL8" s="23" t="b">
        <f t="shared" si="13"/>
        <v>0</v>
      </c>
      <c r="AM8" s="23" t="b">
        <f t="shared" si="14"/>
        <v>0</v>
      </c>
      <c r="AN8" s="23" t="b">
        <f t="shared" si="15"/>
        <v>0</v>
      </c>
      <c r="AO8" s="23" t="b">
        <f t="shared" si="16"/>
        <v>0</v>
      </c>
      <c r="AP8" s="23" t="b">
        <f t="shared" si="17"/>
        <v>0</v>
      </c>
      <c r="AQ8" s="23" t="b">
        <f t="shared" si="18"/>
        <v>0</v>
      </c>
      <c r="AR8" s="23" t="b">
        <f t="shared" si="19"/>
        <v>0</v>
      </c>
      <c r="AS8" s="23" t="b">
        <v>0</v>
      </c>
      <c r="AT8" s="23" t="b">
        <f t="shared" si="20"/>
        <v>0</v>
      </c>
      <c r="AU8" s="23" t="b">
        <f t="shared" si="21"/>
        <v>0</v>
      </c>
      <c r="AV8" s="23" t="b">
        <f t="shared" si="22"/>
        <v>0</v>
      </c>
      <c r="AW8" s="23" t="b">
        <f t="shared" si="23"/>
        <v>0</v>
      </c>
      <c r="AX8" s="23" t="s">
        <v>99</v>
      </c>
      <c r="AY8" s="23" t="b">
        <v>0</v>
      </c>
      <c r="AZ8" s="23" t="s">
        <v>105</v>
      </c>
    </row>
    <row r="9" spans="1:52" x14ac:dyDescent="0.2">
      <c r="A9" s="23">
        <v>8</v>
      </c>
      <c r="B9" s="23" t="s">
        <v>88</v>
      </c>
      <c r="C9" s="23" t="s">
        <v>142</v>
      </c>
      <c r="D9" s="23" t="b">
        <v>1</v>
      </c>
      <c r="E9" s="23" t="s">
        <v>143</v>
      </c>
      <c r="F9" s="23" t="s">
        <v>144</v>
      </c>
      <c r="G9" s="23" t="s">
        <v>92</v>
      </c>
      <c r="H9" s="23" t="s">
        <v>116</v>
      </c>
      <c r="I9" s="23" t="s">
        <v>145</v>
      </c>
      <c r="J9" s="23" t="s">
        <v>95</v>
      </c>
      <c r="K9" s="23" t="s">
        <v>118</v>
      </c>
      <c r="Q9" s="23">
        <v>2011</v>
      </c>
      <c r="R9" s="23" t="s">
        <v>99</v>
      </c>
      <c r="T9" s="23" t="s">
        <v>146</v>
      </c>
      <c r="U9" s="23" t="s">
        <v>111</v>
      </c>
      <c r="V9" s="23" t="s">
        <v>112</v>
      </c>
      <c r="W9" s="23" t="s">
        <v>121</v>
      </c>
      <c r="X9" s="23" t="s">
        <v>104</v>
      </c>
      <c r="Y9" s="23" t="b">
        <f t="shared" si="1"/>
        <v>0</v>
      </c>
      <c r="Z9" s="23" t="b">
        <f t="shared" si="2"/>
        <v>0</v>
      </c>
      <c r="AA9" s="23" t="b">
        <f t="shared" si="3"/>
        <v>0</v>
      </c>
      <c r="AB9" s="23" t="b">
        <f t="shared" si="4"/>
        <v>0</v>
      </c>
      <c r="AC9" s="23" t="b">
        <f t="shared" si="5"/>
        <v>0</v>
      </c>
      <c r="AD9" s="23" t="b">
        <f t="shared" si="6"/>
        <v>0</v>
      </c>
      <c r="AE9" s="23" t="b">
        <f t="shared" si="7"/>
        <v>0</v>
      </c>
      <c r="AF9" s="23" t="b">
        <f t="shared" si="8"/>
        <v>0</v>
      </c>
      <c r="AG9" s="23" t="b">
        <f t="shared" si="9"/>
        <v>0</v>
      </c>
      <c r="AH9" s="23" t="b">
        <f t="shared" si="10"/>
        <v>0</v>
      </c>
      <c r="AI9" s="23" t="b">
        <f t="shared" si="11"/>
        <v>0</v>
      </c>
      <c r="AJ9" s="23" t="b">
        <v>0</v>
      </c>
      <c r="AK9" s="23" t="b">
        <f t="shared" si="12"/>
        <v>0</v>
      </c>
      <c r="AL9" s="23" t="b">
        <f t="shared" si="13"/>
        <v>0</v>
      </c>
      <c r="AM9" s="23" t="b">
        <f t="shared" si="14"/>
        <v>0</v>
      </c>
      <c r="AN9" s="23" t="b">
        <f t="shared" si="15"/>
        <v>0</v>
      </c>
      <c r="AO9" s="23" t="b">
        <f t="shared" si="16"/>
        <v>0</v>
      </c>
      <c r="AP9" s="23" t="b">
        <f t="shared" si="17"/>
        <v>0</v>
      </c>
      <c r="AQ9" s="23" t="b">
        <f t="shared" si="18"/>
        <v>0</v>
      </c>
      <c r="AR9" s="23" t="b">
        <f t="shared" si="19"/>
        <v>0</v>
      </c>
      <c r="AS9" s="23" t="b">
        <v>0</v>
      </c>
      <c r="AT9" s="23" t="b">
        <f t="shared" si="20"/>
        <v>0</v>
      </c>
      <c r="AU9" s="23" t="b">
        <f t="shared" si="21"/>
        <v>0</v>
      </c>
      <c r="AV9" s="23" t="b">
        <f t="shared" si="22"/>
        <v>0</v>
      </c>
      <c r="AW9" s="23" t="b">
        <f t="shared" si="23"/>
        <v>0</v>
      </c>
      <c r="AX9" s="23" t="s">
        <v>99</v>
      </c>
      <c r="AY9" s="23" t="b">
        <v>0</v>
      </c>
      <c r="AZ9" s="23" t="s">
        <v>105</v>
      </c>
    </row>
    <row r="10" spans="1:52" x14ac:dyDescent="0.2">
      <c r="A10" s="23">
        <v>9</v>
      </c>
      <c r="B10" s="23" t="s">
        <v>88</v>
      </c>
      <c r="C10" s="23" t="s">
        <v>147</v>
      </c>
      <c r="D10" s="23" t="b">
        <v>1</v>
      </c>
      <c r="E10" s="23" t="s">
        <v>148</v>
      </c>
      <c r="F10" s="23" t="s">
        <v>149</v>
      </c>
      <c r="G10" s="23" t="s">
        <v>92</v>
      </c>
      <c r="H10" s="23" t="s">
        <v>93</v>
      </c>
      <c r="I10" s="23" t="s">
        <v>150</v>
      </c>
      <c r="J10" s="23" t="s">
        <v>95</v>
      </c>
      <c r="K10" s="23" t="s">
        <v>96</v>
      </c>
      <c r="Q10" s="23">
        <v>2011</v>
      </c>
      <c r="R10" s="23" t="s">
        <v>99</v>
      </c>
      <c r="T10" s="23" t="s">
        <v>100</v>
      </c>
      <c r="U10" s="23" t="s">
        <v>101</v>
      </c>
      <c r="V10" s="23" t="s">
        <v>102</v>
      </c>
      <c r="W10" s="23" t="s">
        <v>103</v>
      </c>
      <c r="X10" s="23" t="s">
        <v>104</v>
      </c>
      <c r="Y10" s="23" t="b">
        <f t="shared" si="1"/>
        <v>0</v>
      </c>
      <c r="Z10" s="23" t="b">
        <f t="shared" si="2"/>
        <v>0</v>
      </c>
      <c r="AA10" s="23" t="b">
        <f t="shared" si="3"/>
        <v>0</v>
      </c>
      <c r="AB10" s="23" t="b">
        <f t="shared" si="4"/>
        <v>0</v>
      </c>
      <c r="AC10" s="23" t="b">
        <f t="shared" si="5"/>
        <v>0</v>
      </c>
      <c r="AD10" s="23" t="b">
        <f t="shared" si="6"/>
        <v>0</v>
      </c>
      <c r="AE10" s="23" t="b">
        <f t="shared" si="7"/>
        <v>0</v>
      </c>
      <c r="AF10" s="23" t="b">
        <f t="shared" si="8"/>
        <v>0</v>
      </c>
      <c r="AG10" s="23" t="b">
        <f t="shared" si="9"/>
        <v>0</v>
      </c>
      <c r="AH10" s="23" t="b">
        <f t="shared" si="10"/>
        <v>0</v>
      </c>
      <c r="AI10" s="23" t="b">
        <f t="shared" si="11"/>
        <v>0</v>
      </c>
      <c r="AJ10" s="23" t="b">
        <v>1</v>
      </c>
      <c r="AK10" s="23" t="b">
        <f t="shared" si="12"/>
        <v>0</v>
      </c>
      <c r="AL10" s="23" t="b">
        <f t="shared" si="13"/>
        <v>0</v>
      </c>
      <c r="AM10" s="23" t="b">
        <f t="shared" si="14"/>
        <v>0</v>
      </c>
      <c r="AN10" s="23" t="b">
        <f t="shared" si="15"/>
        <v>0</v>
      </c>
      <c r="AO10" s="23" t="b">
        <f t="shared" si="16"/>
        <v>0</v>
      </c>
      <c r="AP10" s="23" t="b">
        <f t="shared" si="17"/>
        <v>0</v>
      </c>
      <c r="AQ10" s="23" t="b">
        <f t="shared" si="18"/>
        <v>0</v>
      </c>
      <c r="AR10" s="23" t="b">
        <f t="shared" si="19"/>
        <v>0</v>
      </c>
      <c r="AS10" s="23" t="b">
        <v>1</v>
      </c>
      <c r="AT10" s="23" t="b">
        <f t="shared" si="20"/>
        <v>0</v>
      </c>
      <c r="AU10" s="23" t="b">
        <f t="shared" si="21"/>
        <v>0</v>
      </c>
      <c r="AV10" s="23" t="b">
        <f t="shared" si="22"/>
        <v>0</v>
      </c>
      <c r="AW10" s="23" t="b">
        <f t="shared" si="23"/>
        <v>0</v>
      </c>
      <c r="AX10" s="23" t="s">
        <v>99</v>
      </c>
      <c r="AY10" s="23" t="b">
        <v>0</v>
      </c>
      <c r="AZ10" s="23" t="s">
        <v>105</v>
      </c>
    </row>
    <row r="11" spans="1:52" x14ac:dyDescent="0.2">
      <c r="A11" s="23">
        <v>10</v>
      </c>
      <c r="B11" s="23" t="s">
        <v>88</v>
      </c>
      <c r="C11" s="23" t="s">
        <v>151</v>
      </c>
      <c r="D11" s="23" t="b">
        <v>1</v>
      </c>
      <c r="E11" s="23" t="s">
        <v>152</v>
      </c>
      <c r="F11" s="23" t="s">
        <v>153</v>
      </c>
      <c r="G11" s="23" t="s">
        <v>92</v>
      </c>
      <c r="H11" s="23" t="s">
        <v>154</v>
      </c>
      <c r="J11" s="23" t="s">
        <v>95</v>
      </c>
      <c r="K11" s="23" t="s">
        <v>155</v>
      </c>
      <c r="Q11" s="23">
        <v>2018</v>
      </c>
      <c r="R11" s="23" t="s">
        <v>119</v>
      </c>
      <c r="T11" s="23" t="s">
        <v>156</v>
      </c>
      <c r="U11" s="23" t="s">
        <v>111</v>
      </c>
      <c r="V11" s="23" t="s">
        <v>112</v>
      </c>
      <c r="W11" s="23" t="s">
        <v>103</v>
      </c>
      <c r="X11" s="23" t="s">
        <v>104</v>
      </c>
      <c r="Y11" s="23" t="b">
        <f t="shared" si="1"/>
        <v>0</v>
      </c>
      <c r="Z11" s="23" t="b">
        <f t="shared" si="2"/>
        <v>0</v>
      </c>
      <c r="AA11" s="23" t="b">
        <f t="shared" si="3"/>
        <v>0</v>
      </c>
      <c r="AB11" s="23" t="b">
        <f t="shared" si="4"/>
        <v>0</v>
      </c>
      <c r="AC11" s="23" t="b">
        <f t="shared" si="5"/>
        <v>0</v>
      </c>
      <c r="AD11" s="23" t="b">
        <f t="shared" si="6"/>
        <v>0</v>
      </c>
      <c r="AE11" s="23" t="b">
        <f t="shared" si="7"/>
        <v>0</v>
      </c>
      <c r="AF11" s="23" t="b">
        <f t="shared" si="8"/>
        <v>0</v>
      </c>
      <c r="AG11" s="23" t="b">
        <f t="shared" si="9"/>
        <v>0</v>
      </c>
      <c r="AH11" s="23" t="b">
        <f t="shared" si="10"/>
        <v>0</v>
      </c>
      <c r="AI11" s="23" t="b">
        <f t="shared" si="11"/>
        <v>0</v>
      </c>
      <c r="AJ11" s="23" t="b">
        <v>1</v>
      </c>
      <c r="AK11" s="23" t="b">
        <f t="shared" si="12"/>
        <v>0</v>
      </c>
      <c r="AL11" s="23" t="b">
        <f t="shared" si="13"/>
        <v>0</v>
      </c>
      <c r="AM11" s="23" t="b">
        <f t="shared" si="14"/>
        <v>0</v>
      </c>
      <c r="AN11" s="23" t="b">
        <f t="shared" si="15"/>
        <v>0</v>
      </c>
      <c r="AO11" s="23" t="b">
        <f t="shared" si="16"/>
        <v>0</v>
      </c>
      <c r="AP11" s="23" t="b">
        <f t="shared" si="17"/>
        <v>0</v>
      </c>
      <c r="AQ11" s="23" t="b">
        <f t="shared" si="18"/>
        <v>0</v>
      </c>
      <c r="AR11" s="23" t="b">
        <f t="shared" si="19"/>
        <v>0</v>
      </c>
      <c r="AS11" s="23" t="b">
        <v>1</v>
      </c>
      <c r="AT11" s="23" t="b">
        <f t="shared" si="20"/>
        <v>0</v>
      </c>
      <c r="AU11" s="23" t="b">
        <f t="shared" si="21"/>
        <v>0</v>
      </c>
      <c r="AV11" s="23" t="b">
        <f t="shared" si="22"/>
        <v>0</v>
      </c>
      <c r="AW11" s="23" t="b">
        <f t="shared" si="23"/>
        <v>0</v>
      </c>
      <c r="AX11" s="23" t="s">
        <v>99</v>
      </c>
      <c r="AY11" s="23" t="b">
        <v>0</v>
      </c>
      <c r="AZ11" s="23" t="s">
        <v>105</v>
      </c>
    </row>
    <row r="12" spans="1:52" x14ac:dyDescent="0.2">
      <c r="A12" s="23">
        <v>11</v>
      </c>
      <c r="B12" s="23" t="s">
        <v>88</v>
      </c>
      <c r="C12" s="23" t="s">
        <v>157</v>
      </c>
      <c r="D12" s="23" t="b">
        <v>1</v>
      </c>
      <c r="E12" s="23" t="s">
        <v>158</v>
      </c>
      <c r="F12" s="23" t="s">
        <v>159</v>
      </c>
      <c r="G12" s="23" t="s">
        <v>92</v>
      </c>
      <c r="H12" s="23" t="s">
        <v>160</v>
      </c>
      <c r="J12" s="23" t="s">
        <v>95</v>
      </c>
      <c r="K12" s="23" t="s">
        <v>161</v>
      </c>
      <c r="Q12" s="23">
        <v>2019</v>
      </c>
      <c r="R12" s="23" t="s">
        <v>119</v>
      </c>
      <c r="T12" s="23" t="s">
        <v>156</v>
      </c>
      <c r="U12" s="23" t="s">
        <v>111</v>
      </c>
      <c r="V12" s="23" t="s">
        <v>112</v>
      </c>
      <c r="W12" s="23" t="s">
        <v>103</v>
      </c>
      <c r="X12" s="23" t="s">
        <v>104</v>
      </c>
      <c r="Y12" s="23" t="b">
        <f t="shared" si="1"/>
        <v>0</v>
      </c>
      <c r="Z12" s="23" t="b">
        <f t="shared" si="2"/>
        <v>0</v>
      </c>
      <c r="AA12" s="23" t="b">
        <f t="shared" si="3"/>
        <v>0</v>
      </c>
      <c r="AB12" s="23" t="b">
        <f t="shared" si="4"/>
        <v>0</v>
      </c>
      <c r="AC12" s="23" t="b">
        <f t="shared" si="5"/>
        <v>0</v>
      </c>
      <c r="AD12" s="23" t="b">
        <f t="shared" si="6"/>
        <v>0</v>
      </c>
      <c r="AE12" s="23" t="b">
        <f t="shared" si="7"/>
        <v>0</v>
      </c>
      <c r="AF12" s="23" t="b">
        <f t="shared" si="8"/>
        <v>0</v>
      </c>
      <c r="AG12" s="23" t="b">
        <f t="shared" si="9"/>
        <v>0</v>
      </c>
      <c r="AH12" s="23" t="b">
        <f t="shared" si="10"/>
        <v>0</v>
      </c>
      <c r="AI12" s="23" t="b">
        <f t="shared" si="11"/>
        <v>0</v>
      </c>
      <c r="AJ12" s="23" t="b">
        <v>0</v>
      </c>
      <c r="AK12" s="23" t="b">
        <f t="shared" si="12"/>
        <v>0</v>
      </c>
      <c r="AL12" s="23" t="b">
        <f t="shared" si="13"/>
        <v>0</v>
      </c>
      <c r="AM12" s="23" t="b">
        <f t="shared" si="14"/>
        <v>0</v>
      </c>
      <c r="AN12" s="23" t="b">
        <f t="shared" si="15"/>
        <v>0</v>
      </c>
      <c r="AO12" s="23" t="b">
        <f t="shared" si="16"/>
        <v>0</v>
      </c>
      <c r="AP12" s="23" t="b">
        <f t="shared" si="17"/>
        <v>0</v>
      </c>
      <c r="AQ12" s="23" t="b">
        <f t="shared" si="18"/>
        <v>0</v>
      </c>
      <c r="AR12" s="23" t="b">
        <f t="shared" si="19"/>
        <v>0</v>
      </c>
      <c r="AS12" s="23" t="b">
        <v>0</v>
      </c>
      <c r="AT12" s="23" t="b">
        <f t="shared" si="20"/>
        <v>0</v>
      </c>
      <c r="AU12" s="23" t="b">
        <f t="shared" si="21"/>
        <v>0</v>
      </c>
      <c r="AV12" s="23" t="b">
        <f t="shared" si="22"/>
        <v>0</v>
      </c>
      <c r="AW12" s="23" t="b">
        <f t="shared" si="23"/>
        <v>0</v>
      </c>
      <c r="AX12" s="23" t="s">
        <v>99</v>
      </c>
      <c r="AY12" s="23" t="b">
        <v>0</v>
      </c>
      <c r="AZ12" s="23" t="s">
        <v>105</v>
      </c>
    </row>
    <row r="13" spans="1:52" x14ac:dyDescent="0.2">
      <c r="A13" s="23">
        <v>12</v>
      </c>
      <c r="B13" s="23" t="s">
        <v>88</v>
      </c>
      <c r="C13" s="23" t="s">
        <v>163</v>
      </c>
      <c r="D13" s="23" t="b">
        <v>1</v>
      </c>
      <c r="E13" s="23" t="s">
        <v>164</v>
      </c>
      <c r="F13" s="23" t="s">
        <v>165</v>
      </c>
      <c r="G13" s="23" t="s">
        <v>92</v>
      </c>
      <c r="H13" s="23" t="s">
        <v>166</v>
      </c>
      <c r="J13" s="23" t="s">
        <v>95</v>
      </c>
      <c r="K13" s="23" t="s">
        <v>161</v>
      </c>
      <c r="Q13" s="23">
        <v>2019</v>
      </c>
      <c r="R13" s="23" t="s">
        <v>119</v>
      </c>
      <c r="T13" s="23" t="s">
        <v>167</v>
      </c>
      <c r="U13" s="23" t="s">
        <v>111</v>
      </c>
      <c r="V13" s="23" t="s">
        <v>112</v>
      </c>
      <c r="W13" s="23" t="s">
        <v>103</v>
      </c>
      <c r="X13" s="23" t="s">
        <v>104</v>
      </c>
      <c r="Y13" s="23" t="b">
        <f t="shared" si="1"/>
        <v>0</v>
      </c>
      <c r="Z13" s="23" t="b">
        <f t="shared" si="2"/>
        <v>0</v>
      </c>
      <c r="AA13" s="23" t="b">
        <f t="shared" si="3"/>
        <v>0</v>
      </c>
      <c r="AB13" s="23" t="b">
        <f t="shared" si="4"/>
        <v>0</v>
      </c>
      <c r="AC13" s="23" t="b">
        <f t="shared" si="5"/>
        <v>0</v>
      </c>
      <c r="AD13" s="23" t="b">
        <f t="shared" si="6"/>
        <v>0</v>
      </c>
      <c r="AE13" s="23" t="b">
        <f t="shared" si="7"/>
        <v>0</v>
      </c>
      <c r="AF13" s="23" t="b">
        <f t="shared" si="8"/>
        <v>0</v>
      </c>
      <c r="AG13" s="23" t="b">
        <f t="shared" si="9"/>
        <v>0</v>
      </c>
      <c r="AH13" s="23" t="b">
        <f t="shared" si="10"/>
        <v>0</v>
      </c>
      <c r="AI13" s="23" t="b">
        <f t="shared" si="11"/>
        <v>0</v>
      </c>
      <c r="AJ13" s="23" t="b">
        <v>0</v>
      </c>
      <c r="AK13" s="23" t="b">
        <f t="shared" si="12"/>
        <v>0</v>
      </c>
      <c r="AL13" s="23" t="b">
        <f t="shared" si="13"/>
        <v>0</v>
      </c>
      <c r="AM13" s="23" t="b">
        <f t="shared" si="14"/>
        <v>0</v>
      </c>
      <c r="AN13" s="23" t="b">
        <f t="shared" si="15"/>
        <v>0</v>
      </c>
      <c r="AO13" s="23" t="b">
        <f t="shared" si="16"/>
        <v>0</v>
      </c>
      <c r="AP13" s="23" t="b">
        <f t="shared" si="17"/>
        <v>0</v>
      </c>
      <c r="AQ13" s="23" t="b">
        <f t="shared" si="18"/>
        <v>0</v>
      </c>
      <c r="AR13" s="23" t="b">
        <f t="shared" si="19"/>
        <v>0</v>
      </c>
      <c r="AS13" s="23" t="b">
        <v>1</v>
      </c>
      <c r="AT13" s="23" t="b">
        <f t="shared" si="20"/>
        <v>0</v>
      </c>
      <c r="AU13" s="23" t="b">
        <f t="shared" si="21"/>
        <v>0</v>
      </c>
      <c r="AV13" s="23" t="b">
        <f t="shared" si="22"/>
        <v>0</v>
      </c>
      <c r="AW13" s="23" t="b">
        <f t="shared" si="23"/>
        <v>0</v>
      </c>
      <c r="AX13" s="23" t="s">
        <v>99</v>
      </c>
      <c r="AY13" s="23" t="b">
        <v>0</v>
      </c>
      <c r="AZ13" s="23" t="s">
        <v>105</v>
      </c>
    </row>
    <row r="14" spans="1:52" x14ac:dyDescent="0.2">
      <c r="A14" s="23">
        <v>13</v>
      </c>
      <c r="B14" s="23" t="s">
        <v>88</v>
      </c>
      <c r="C14" s="23" t="s">
        <v>168</v>
      </c>
      <c r="D14" s="23" t="b">
        <v>1</v>
      </c>
      <c r="E14" s="23" t="s">
        <v>169</v>
      </c>
      <c r="F14" s="23" t="s">
        <v>168</v>
      </c>
      <c r="G14" s="23" t="s">
        <v>92</v>
      </c>
      <c r="H14" s="23" t="s">
        <v>170</v>
      </c>
      <c r="J14" s="23" t="s">
        <v>95</v>
      </c>
      <c r="K14" s="23" t="s">
        <v>161</v>
      </c>
      <c r="Q14" s="23">
        <v>2019</v>
      </c>
      <c r="R14" s="23" t="s">
        <v>119</v>
      </c>
      <c r="T14" s="23" t="s">
        <v>171</v>
      </c>
      <c r="U14" s="23" t="s">
        <v>111</v>
      </c>
      <c r="V14" s="23" t="s">
        <v>112</v>
      </c>
      <c r="W14" s="23" t="s">
        <v>103</v>
      </c>
      <c r="X14" s="23" t="s">
        <v>104</v>
      </c>
      <c r="Y14" s="23" t="b">
        <f t="shared" si="1"/>
        <v>0</v>
      </c>
      <c r="Z14" s="23" t="b">
        <f t="shared" si="2"/>
        <v>0</v>
      </c>
      <c r="AA14" s="23" t="b">
        <f t="shared" si="3"/>
        <v>0</v>
      </c>
      <c r="AB14" s="23" t="b">
        <f t="shared" si="4"/>
        <v>0</v>
      </c>
      <c r="AC14" s="23" t="b">
        <f t="shared" si="5"/>
        <v>0</v>
      </c>
      <c r="AD14" s="23" t="b">
        <f t="shared" si="6"/>
        <v>0</v>
      </c>
      <c r="AE14" s="23" t="b">
        <f t="shared" si="7"/>
        <v>0</v>
      </c>
      <c r="AF14" s="23" t="b">
        <f t="shared" si="8"/>
        <v>0</v>
      </c>
      <c r="AG14" s="23" t="b">
        <f t="shared" si="9"/>
        <v>0</v>
      </c>
      <c r="AH14" s="23" t="b">
        <f t="shared" si="10"/>
        <v>0</v>
      </c>
      <c r="AI14" s="23" t="b">
        <f t="shared" si="11"/>
        <v>0</v>
      </c>
      <c r="AJ14" s="23" t="b">
        <v>0</v>
      </c>
      <c r="AK14" s="23" t="b">
        <f t="shared" si="12"/>
        <v>0</v>
      </c>
      <c r="AL14" s="23" t="b">
        <f t="shared" si="13"/>
        <v>0</v>
      </c>
      <c r="AM14" s="23" t="b">
        <f t="shared" si="14"/>
        <v>0</v>
      </c>
      <c r="AN14" s="23" t="b">
        <f t="shared" si="15"/>
        <v>0</v>
      </c>
      <c r="AO14" s="23" t="b">
        <f t="shared" si="16"/>
        <v>0</v>
      </c>
      <c r="AP14" s="23" t="b">
        <f t="shared" si="17"/>
        <v>0</v>
      </c>
      <c r="AQ14" s="23" t="b">
        <f t="shared" si="18"/>
        <v>0</v>
      </c>
      <c r="AR14" s="23" t="b">
        <f t="shared" si="19"/>
        <v>0</v>
      </c>
      <c r="AS14" s="23" t="b">
        <v>0</v>
      </c>
      <c r="AT14" s="23" t="b">
        <f t="shared" si="20"/>
        <v>0</v>
      </c>
      <c r="AU14" s="23" t="b">
        <f t="shared" si="21"/>
        <v>0</v>
      </c>
      <c r="AV14" s="23" t="b">
        <f t="shared" si="22"/>
        <v>0</v>
      </c>
      <c r="AW14" s="23" t="b">
        <f t="shared" si="23"/>
        <v>0</v>
      </c>
      <c r="AX14" s="23" t="s">
        <v>99</v>
      </c>
      <c r="AY14" s="23" t="b">
        <v>0</v>
      </c>
      <c r="AZ14" s="23" t="s">
        <v>105</v>
      </c>
    </row>
    <row r="15" spans="1:52" x14ac:dyDescent="0.2">
      <c r="A15" s="23">
        <v>14</v>
      </c>
      <c r="B15" s="23" t="s">
        <v>88</v>
      </c>
      <c r="C15" s="23" t="s">
        <v>172</v>
      </c>
      <c r="D15" s="23" t="b">
        <v>1</v>
      </c>
      <c r="E15" s="23" t="s">
        <v>173</v>
      </c>
      <c r="F15" s="23" t="s">
        <v>172</v>
      </c>
      <c r="G15" s="23" t="s">
        <v>92</v>
      </c>
      <c r="H15" s="23" t="s">
        <v>170</v>
      </c>
      <c r="J15" s="23" t="s">
        <v>95</v>
      </c>
      <c r="K15" s="23" t="s">
        <v>161</v>
      </c>
      <c r="Q15" s="23">
        <v>2019</v>
      </c>
      <c r="R15" s="23" t="s">
        <v>119</v>
      </c>
      <c r="T15" s="23" t="s">
        <v>174</v>
      </c>
      <c r="U15" s="23" t="s">
        <v>111</v>
      </c>
      <c r="V15" s="23" t="s">
        <v>112</v>
      </c>
      <c r="W15" s="23" t="s">
        <v>103</v>
      </c>
      <c r="X15" s="23" t="s">
        <v>104</v>
      </c>
      <c r="Y15" s="23" t="b">
        <f t="shared" si="1"/>
        <v>0</v>
      </c>
      <c r="Z15" s="23" t="b">
        <f t="shared" si="2"/>
        <v>0</v>
      </c>
      <c r="AA15" s="23" t="b">
        <f t="shared" si="3"/>
        <v>0</v>
      </c>
      <c r="AB15" s="23" t="b">
        <f t="shared" si="4"/>
        <v>0</v>
      </c>
      <c r="AC15" s="23" t="b">
        <f t="shared" si="5"/>
        <v>0</v>
      </c>
      <c r="AD15" s="23" t="b">
        <f t="shared" si="6"/>
        <v>0</v>
      </c>
      <c r="AE15" s="23" t="b">
        <f t="shared" si="7"/>
        <v>0</v>
      </c>
      <c r="AF15" s="23" t="b">
        <f t="shared" si="8"/>
        <v>0</v>
      </c>
      <c r="AG15" s="23" t="b">
        <f t="shared" si="9"/>
        <v>0</v>
      </c>
      <c r="AH15" s="23" t="b">
        <f t="shared" si="10"/>
        <v>0</v>
      </c>
      <c r="AI15" s="23" t="b">
        <f t="shared" si="11"/>
        <v>0</v>
      </c>
      <c r="AJ15" s="23" t="b">
        <v>0</v>
      </c>
      <c r="AK15" s="23" t="b">
        <f t="shared" si="12"/>
        <v>0</v>
      </c>
      <c r="AL15" s="23" t="b">
        <f t="shared" si="13"/>
        <v>0</v>
      </c>
      <c r="AM15" s="23" t="b">
        <f t="shared" si="14"/>
        <v>0</v>
      </c>
      <c r="AN15" s="23" t="b">
        <f t="shared" si="15"/>
        <v>0</v>
      </c>
      <c r="AO15" s="23" t="b">
        <f t="shared" si="16"/>
        <v>0</v>
      </c>
      <c r="AP15" s="23" t="b">
        <f t="shared" si="17"/>
        <v>0</v>
      </c>
      <c r="AQ15" s="23" t="b">
        <f t="shared" si="18"/>
        <v>0</v>
      </c>
      <c r="AR15" s="23" t="b">
        <f t="shared" si="19"/>
        <v>0</v>
      </c>
      <c r="AS15" s="23" t="b">
        <v>0</v>
      </c>
      <c r="AT15" s="23" t="b">
        <f t="shared" si="20"/>
        <v>0</v>
      </c>
      <c r="AU15" s="23" t="b">
        <f t="shared" si="21"/>
        <v>0</v>
      </c>
      <c r="AV15" s="23" t="b">
        <f t="shared" si="22"/>
        <v>0</v>
      </c>
      <c r="AW15" s="23" t="b">
        <f t="shared" si="23"/>
        <v>0</v>
      </c>
      <c r="AX15" s="23" t="s">
        <v>99</v>
      </c>
      <c r="AY15" s="23" t="b">
        <v>0</v>
      </c>
      <c r="AZ15" s="23" t="s">
        <v>105</v>
      </c>
    </row>
    <row r="16" spans="1:52" x14ac:dyDescent="0.2">
      <c r="A16" s="23">
        <v>15</v>
      </c>
      <c r="B16" s="23" t="s">
        <v>88</v>
      </c>
      <c r="C16" s="23" t="s">
        <v>175</v>
      </c>
      <c r="D16" s="23" t="b">
        <v>1</v>
      </c>
      <c r="E16" s="23" t="s">
        <v>176</v>
      </c>
      <c r="F16" s="23" t="s">
        <v>177</v>
      </c>
      <c r="G16" s="23" t="s">
        <v>92</v>
      </c>
      <c r="H16" s="23" t="s">
        <v>178</v>
      </c>
      <c r="I16" s="23" t="s">
        <v>179</v>
      </c>
      <c r="J16" s="23" t="s">
        <v>180</v>
      </c>
      <c r="K16" s="23" t="s">
        <v>181</v>
      </c>
      <c r="Q16" s="23">
        <v>2011</v>
      </c>
      <c r="R16" s="23" t="s">
        <v>132</v>
      </c>
      <c r="T16" s="23" t="s">
        <v>100</v>
      </c>
      <c r="U16" s="23" t="s">
        <v>101</v>
      </c>
      <c r="V16" s="23" t="s">
        <v>102</v>
      </c>
      <c r="W16" s="23" t="s">
        <v>103</v>
      </c>
      <c r="X16" s="23" t="s">
        <v>104</v>
      </c>
      <c r="Y16" s="23" t="b">
        <f t="shared" si="1"/>
        <v>0</v>
      </c>
      <c r="Z16" s="23" t="b">
        <f t="shared" si="2"/>
        <v>0</v>
      </c>
      <c r="AA16" s="23" t="b">
        <f t="shared" si="3"/>
        <v>0</v>
      </c>
      <c r="AB16" s="23" t="b">
        <f t="shared" si="4"/>
        <v>0</v>
      </c>
      <c r="AC16" s="23" t="b">
        <f t="shared" si="5"/>
        <v>0</v>
      </c>
      <c r="AD16" s="23" t="b">
        <f t="shared" si="6"/>
        <v>0</v>
      </c>
      <c r="AE16" s="23" t="b">
        <f t="shared" si="7"/>
        <v>0</v>
      </c>
      <c r="AF16" s="23" t="b">
        <f t="shared" si="8"/>
        <v>0</v>
      </c>
      <c r="AG16" s="23" t="b">
        <f t="shared" si="9"/>
        <v>0</v>
      </c>
      <c r="AH16" s="23" t="b">
        <f t="shared" si="10"/>
        <v>0</v>
      </c>
      <c r="AI16" s="23" t="b">
        <f t="shared" si="11"/>
        <v>0</v>
      </c>
      <c r="AJ16" s="23" t="b">
        <v>0</v>
      </c>
      <c r="AK16" s="23" t="b">
        <f t="shared" si="12"/>
        <v>0</v>
      </c>
      <c r="AL16" s="23" t="b">
        <f t="shared" si="13"/>
        <v>0</v>
      </c>
      <c r="AM16" s="23" t="b">
        <f t="shared" si="14"/>
        <v>0</v>
      </c>
      <c r="AN16" s="23" t="b">
        <f t="shared" si="15"/>
        <v>0</v>
      </c>
      <c r="AO16" s="23" t="b">
        <f t="shared" si="16"/>
        <v>0</v>
      </c>
      <c r="AP16" s="23" t="b">
        <f t="shared" si="17"/>
        <v>0</v>
      </c>
      <c r="AQ16" s="23" t="b">
        <f t="shared" si="18"/>
        <v>0</v>
      </c>
      <c r="AR16" s="23" t="b">
        <f t="shared" si="19"/>
        <v>0</v>
      </c>
      <c r="AS16" s="23" t="b">
        <v>0</v>
      </c>
      <c r="AT16" s="23" t="b">
        <f t="shared" si="20"/>
        <v>0</v>
      </c>
      <c r="AU16" s="23" t="b">
        <f t="shared" si="21"/>
        <v>0</v>
      </c>
      <c r="AV16" s="23" t="b">
        <f t="shared" si="22"/>
        <v>0</v>
      </c>
      <c r="AW16" s="23" t="b">
        <f t="shared" si="23"/>
        <v>0</v>
      </c>
      <c r="AX16" s="23" t="s">
        <v>132</v>
      </c>
      <c r="AY16" s="23" t="b">
        <v>0</v>
      </c>
      <c r="AZ16" s="23" t="s">
        <v>105</v>
      </c>
    </row>
    <row r="17" spans="1:52" x14ac:dyDescent="0.2">
      <c r="A17" s="23">
        <v>16</v>
      </c>
      <c r="B17" s="23" t="s">
        <v>88</v>
      </c>
      <c r="C17" s="23" t="s">
        <v>182</v>
      </c>
      <c r="D17" s="23" t="b">
        <v>1</v>
      </c>
      <c r="E17" s="23" t="s">
        <v>183</v>
      </c>
      <c r="F17" s="23" t="s">
        <v>184</v>
      </c>
      <c r="G17" s="23" t="s">
        <v>92</v>
      </c>
      <c r="H17" s="23" t="s">
        <v>185</v>
      </c>
      <c r="J17" s="23" t="s">
        <v>186</v>
      </c>
      <c r="K17" s="23" t="s">
        <v>187</v>
      </c>
      <c r="Q17" s="23">
        <v>2024</v>
      </c>
      <c r="R17" s="23" t="s">
        <v>119</v>
      </c>
      <c r="T17" s="23" t="s">
        <v>188</v>
      </c>
      <c r="U17" s="23" t="s">
        <v>189</v>
      </c>
      <c r="V17" s="23" t="s">
        <v>190</v>
      </c>
      <c r="W17" s="23" t="s">
        <v>103</v>
      </c>
      <c r="X17" s="23" t="s">
        <v>104</v>
      </c>
      <c r="Y17" s="23" t="b">
        <f t="shared" si="1"/>
        <v>0</v>
      </c>
      <c r="Z17" s="23" t="b">
        <f t="shared" si="2"/>
        <v>0</v>
      </c>
      <c r="AA17" s="23" t="b">
        <f t="shared" si="3"/>
        <v>0</v>
      </c>
      <c r="AB17" s="23" t="b">
        <f t="shared" si="4"/>
        <v>0</v>
      </c>
      <c r="AC17" s="23" t="b">
        <f t="shared" si="5"/>
        <v>0</v>
      </c>
      <c r="AD17" s="23" t="b">
        <f t="shared" si="6"/>
        <v>0</v>
      </c>
      <c r="AE17" s="23" t="b">
        <f t="shared" si="7"/>
        <v>0</v>
      </c>
      <c r="AF17" s="23" t="b">
        <f t="shared" si="8"/>
        <v>0</v>
      </c>
      <c r="AG17" s="23" t="b">
        <f t="shared" si="9"/>
        <v>0</v>
      </c>
      <c r="AH17" s="23" t="b">
        <f t="shared" si="10"/>
        <v>0</v>
      </c>
      <c r="AI17" s="23" t="b">
        <f t="shared" si="11"/>
        <v>0</v>
      </c>
      <c r="AJ17" s="23" t="b">
        <v>1</v>
      </c>
      <c r="AK17" s="23" t="b">
        <f t="shared" si="12"/>
        <v>0</v>
      </c>
      <c r="AL17" s="23" t="b">
        <f t="shared" si="13"/>
        <v>0</v>
      </c>
      <c r="AM17" s="23" t="b">
        <f t="shared" si="14"/>
        <v>0</v>
      </c>
      <c r="AN17" s="23" t="b">
        <f t="shared" si="15"/>
        <v>0</v>
      </c>
      <c r="AO17" s="23" t="b">
        <f t="shared" si="16"/>
        <v>0</v>
      </c>
      <c r="AP17" s="23" t="b">
        <f t="shared" si="17"/>
        <v>0</v>
      </c>
      <c r="AQ17" s="23" t="b">
        <f t="shared" si="18"/>
        <v>0</v>
      </c>
      <c r="AR17" s="23" t="b">
        <f t="shared" si="19"/>
        <v>0</v>
      </c>
      <c r="AS17" s="23" t="b">
        <v>1</v>
      </c>
      <c r="AT17" s="23" t="b">
        <f t="shared" si="20"/>
        <v>0</v>
      </c>
      <c r="AU17" s="23" t="b">
        <f t="shared" si="21"/>
        <v>0</v>
      </c>
      <c r="AV17" s="23" t="b">
        <f t="shared" si="22"/>
        <v>0</v>
      </c>
      <c r="AW17" s="23" t="b">
        <f t="shared" si="23"/>
        <v>0</v>
      </c>
      <c r="AX17" s="23" t="s">
        <v>99</v>
      </c>
      <c r="AY17" s="23" t="b">
        <v>0</v>
      </c>
      <c r="AZ17" s="23" t="s">
        <v>105</v>
      </c>
    </row>
    <row r="18" spans="1:52" x14ac:dyDescent="0.2">
      <c r="A18" s="23">
        <v>17</v>
      </c>
      <c r="B18" s="23" t="s">
        <v>88</v>
      </c>
      <c r="C18" s="23" t="s">
        <v>191</v>
      </c>
      <c r="D18" s="23" t="b">
        <v>1</v>
      </c>
      <c r="E18" s="23" t="s">
        <v>192</v>
      </c>
      <c r="F18" s="23" t="s">
        <v>193</v>
      </c>
      <c r="G18" s="23" t="s">
        <v>92</v>
      </c>
      <c r="H18" s="23" t="s">
        <v>194</v>
      </c>
      <c r="J18" s="23" t="s">
        <v>195</v>
      </c>
      <c r="K18" s="23" t="s">
        <v>196</v>
      </c>
      <c r="Q18" s="23">
        <v>2023</v>
      </c>
      <c r="R18" s="23" t="s">
        <v>197</v>
      </c>
      <c r="T18" s="23" t="s">
        <v>198</v>
      </c>
      <c r="U18" s="23" t="s">
        <v>199</v>
      </c>
      <c r="V18" s="23" t="s">
        <v>200</v>
      </c>
      <c r="W18" s="23" t="s">
        <v>103</v>
      </c>
      <c r="X18" s="23" t="s">
        <v>104</v>
      </c>
      <c r="Y18" s="23" t="b">
        <f t="shared" si="1"/>
        <v>0</v>
      </c>
      <c r="Z18" s="23" t="b">
        <f t="shared" si="2"/>
        <v>0</v>
      </c>
      <c r="AA18" s="23" t="b">
        <f t="shared" si="3"/>
        <v>0</v>
      </c>
      <c r="AB18" s="23" t="b">
        <f t="shared" si="4"/>
        <v>0</v>
      </c>
      <c r="AC18" s="23" t="b">
        <f t="shared" si="5"/>
        <v>0</v>
      </c>
      <c r="AD18" s="23" t="b">
        <f t="shared" si="6"/>
        <v>0</v>
      </c>
      <c r="AE18" s="23" t="b">
        <f t="shared" si="7"/>
        <v>0</v>
      </c>
      <c r="AF18" s="23" t="b">
        <f t="shared" si="8"/>
        <v>0</v>
      </c>
      <c r="AG18" s="23" t="b">
        <f t="shared" si="9"/>
        <v>0</v>
      </c>
      <c r="AH18" s="23" t="b">
        <f t="shared" si="10"/>
        <v>0</v>
      </c>
      <c r="AI18" s="23" t="b">
        <f t="shared" si="11"/>
        <v>0</v>
      </c>
      <c r="AJ18" s="23" t="b">
        <v>0</v>
      </c>
      <c r="AK18" s="23" t="b">
        <f t="shared" si="12"/>
        <v>0</v>
      </c>
      <c r="AL18" s="23" t="b">
        <f t="shared" si="13"/>
        <v>0</v>
      </c>
      <c r="AM18" s="23" t="b">
        <f t="shared" si="14"/>
        <v>0</v>
      </c>
      <c r="AN18" s="23" t="b">
        <f t="shared" si="15"/>
        <v>0</v>
      </c>
      <c r="AO18" s="23" t="b">
        <f t="shared" si="16"/>
        <v>0</v>
      </c>
      <c r="AP18" s="23" t="b">
        <f t="shared" si="17"/>
        <v>0</v>
      </c>
      <c r="AQ18" s="23" t="b">
        <f t="shared" si="18"/>
        <v>0</v>
      </c>
      <c r="AR18" s="23" t="b">
        <f t="shared" si="19"/>
        <v>0</v>
      </c>
      <c r="AS18" s="23" t="b">
        <v>0</v>
      </c>
      <c r="AT18" s="23" t="b">
        <f t="shared" si="20"/>
        <v>0</v>
      </c>
      <c r="AU18" s="23" t="b">
        <f t="shared" si="21"/>
        <v>0</v>
      </c>
      <c r="AV18" s="23" t="b">
        <f t="shared" si="22"/>
        <v>0</v>
      </c>
      <c r="AW18" s="23" t="b">
        <f t="shared" si="23"/>
        <v>0</v>
      </c>
      <c r="AX18" s="23" t="s">
        <v>201</v>
      </c>
      <c r="AY18" s="23" t="b">
        <v>0</v>
      </c>
      <c r="AZ18" s="23" t="s">
        <v>105</v>
      </c>
    </row>
    <row r="19" spans="1:52" x14ac:dyDescent="0.2">
      <c r="A19" s="23">
        <v>19</v>
      </c>
      <c r="B19" s="23" t="s">
        <v>202</v>
      </c>
      <c r="C19" s="23" t="s">
        <v>203</v>
      </c>
      <c r="D19" s="23" t="b">
        <v>1</v>
      </c>
      <c r="E19" s="23" t="s">
        <v>204</v>
      </c>
      <c r="F19" s="23" t="s">
        <v>205</v>
      </c>
      <c r="G19" s="23" t="s">
        <v>92</v>
      </c>
      <c r="H19" s="23" t="s">
        <v>93</v>
      </c>
      <c r="I19" s="23" t="s">
        <v>206</v>
      </c>
      <c r="J19" s="23" t="s">
        <v>95</v>
      </c>
      <c r="K19" s="23" t="s">
        <v>96</v>
      </c>
      <c r="Q19" s="23">
        <v>2011</v>
      </c>
      <c r="R19" s="23" t="s">
        <v>132</v>
      </c>
      <c r="T19" s="23" t="s">
        <v>207</v>
      </c>
      <c r="U19" s="23" t="s">
        <v>111</v>
      </c>
      <c r="V19" s="23" t="s">
        <v>112</v>
      </c>
      <c r="W19" s="23" t="s">
        <v>103</v>
      </c>
      <c r="X19" s="23" t="s">
        <v>104</v>
      </c>
      <c r="Y19" s="23" t="b">
        <f t="shared" si="1"/>
        <v>0</v>
      </c>
      <c r="Z19" s="23" t="b">
        <f t="shared" si="2"/>
        <v>0</v>
      </c>
      <c r="AA19" s="23" t="b">
        <f t="shared" si="3"/>
        <v>0</v>
      </c>
      <c r="AB19" s="23" t="b">
        <f t="shared" si="4"/>
        <v>0</v>
      </c>
      <c r="AC19" s="23" t="b">
        <f t="shared" si="5"/>
        <v>0</v>
      </c>
      <c r="AD19" s="23" t="b">
        <f t="shared" si="6"/>
        <v>0</v>
      </c>
      <c r="AE19" s="23" t="b">
        <f t="shared" si="7"/>
        <v>0</v>
      </c>
      <c r="AF19" s="23" t="b">
        <f t="shared" si="8"/>
        <v>0</v>
      </c>
      <c r="AG19" s="23" t="b">
        <f t="shared" si="9"/>
        <v>0</v>
      </c>
      <c r="AH19" s="23" t="b">
        <f t="shared" si="10"/>
        <v>0</v>
      </c>
      <c r="AI19" s="23" t="b">
        <f t="shared" si="11"/>
        <v>0</v>
      </c>
      <c r="AJ19" s="23" t="b">
        <v>0</v>
      </c>
      <c r="AK19" s="23" t="b">
        <f t="shared" si="12"/>
        <v>0</v>
      </c>
      <c r="AL19" s="23" t="b">
        <f t="shared" si="13"/>
        <v>0</v>
      </c>
      <c r="AM19" s="23" t="b">
        <f t="shared" si="14"/>
        <v>0</v>
      </c>
      <c r="AN19" s="23" t="b">
        <f t="shared" si="15"/>
        <v>0</v>
      </c>
      <c r="AO19" s="23" t="b">
        <f t="shared" si="16"/>
        <v>0</v>
      </c>
      <c r="AP19" s="23" t="b">
        <f t="shared" si="17"/>
        <v>0</v>
      </c>
      <c r="AQ19" s="23" t="b">
        <f t="shared" si="18"/>
        <v>0</v>
      </c>
      <c r="AR19" s="23" t="b">
        <f t="shared" si="19"/>
        <v>0</v>
      </c>
      <c r="AS19" s="23" t="b">
        <v>0</v>
      </c>
      <c r="AT19" s="23" t="b">
        <f t="shared" si="20"/>
        <v>0</v>
      </c>
      <c r="AU19" s="23" t="b">
        <f t="shared" si="21"/>
        <v>0</v>
      </c>
      <c r="AV19" s="23" t="b">
        <f t="shared" si="22"/>
        <v>0</v>
      </c>
      <c r="AW19" s="23" t="b">
        <f t="shared" si="23"/>
        <v>0</v>
      </c>
      <c r="AX19" s="23" t="s">
        <v>132</v>
      </c>
      <c r="AY19" s="23" t="b">
        <v>0</v>
      </c>
      <c r="AZ19" s="23" t="s">
        <v>105</v>
      </c>
    </row>
    <row r="20" spans="1:52" x14ac:dyDescent="0.2">
      <c r="A20" s="23">
        <v>20</v>
      </c>
      <c r="B20" s="23" t="s">
        <v>202</v>
      </c>
      <c r="C20" s="23" t="s">
        <v>208</v>
      </c>
      <c r="D20" s="23" t="b">
        <v>1</v>
      </c>
      <c r="E20" s="23" t="s">
        <v>209</v>
      </c>
      <c r="F20" s="23" t="s">
        <v>210</v>
      </c>
      <c r="G20" s="23" t="s">
        <v>92</v>
      </c>
      <c r="H20" s="23" t="s">
        <v>93</v>
      </c>
      <c r="I20" s="23" t="s">
        <v>211</v>
      </c>
      <c r="J20" s="23" t="s">
        <v>95</v>
      </c>
      <c r="K20" s="23" t="s">
        <v>96</v>
      </c>
      <c r="Q20" s="23">
        <v>2001</v>
      </c>
      <c r="R20" s="23" t="s">
        <v>99</v>
      </c>
      <c r="T20" s="23" t="s">
        <v>212</v>
      </c>
      <c r="U20" s="23" t="s">
        <v>111</v>
      </c>
      <c r="V20" s="23" t="s">
        <v>112</v>
      </c>
      <c r="W20" s="23" t="s">
        <v>103</v>
      </c>
      <c r="X20" s="23" t="s">
        <v>104</v>
      </c>
      <c r="Y20" s="23" t="b">
        <f t="shared" si="1"/>
        <v>0</v>
      </c>
      <c r="Z20" s="23" t="b">
        <f t="shared" si="2"/>
        <v>0</v>
      </c>
      <c r="AA20" s="23" t="b">
        <f t="shared" si="3"/>
        <v>0</v>
      </c>
      <c r="AB20" s="23" t="b">
        <f t="shared" si="4"/>
        <v>0</v>
      </c>
      <c r="AC20" s="23" t="b">
        <f t="shared" si="5"/>
        <v>0</v>
      </c>
      <c r="AD20" s="23" t="b">
        <f t="shared" si="6"/>
        <v>0</v>
      </c>
      <c r="AE20" s="23" t="b">
        <f t="shared" si="7"/>
        <v>0</v>
      </c>
      <c r="AF20" s="23" t="b">
        <f t="shared" si="8"/>
        <v>0</v>
      </c>
      <c r="AG20" s="23" t="b">
        <f t="shared" si="9"/>
        <v>0</v>
      </c>
      <c r="AH20" s="23" t="b">
        <f t="shared" si="10"/>
        <v>0</v>
      </c>
      <c r="AI20" s="23" t="b">
        <f t="shared" si="11"/>
        <v>0</v>
      </c>
      <c r="AJ20" s="23" t="b">
        <v>0</v>
      </c>
      <c r="AK20" s="23" t="b">
        <f t="shared" si="12"/>
        <v>0</v>
      </c>
      <c r="AL20" s="23" t="b">
        <f t="shared" si="13"/>
        <v>0</v>
      </c>
      <c r="AM20" s="23" t="b">
        <f t="shared" si="14"/>
        <v>0</v>
      </c>
      <c r="AN20" s="23" t="b">
        <f t="shared" si="15"/>
        <v>0</v>
      </c>
      <c r="AO20" s="23" t="b">
        <f t="shared" si="16"/>
        <v>0</v>
      </c>
      <c r="AP20" s="23" t="b">
        <f t="shared" si="17"/>
        <v>0</v>
      </c>
      <c r="AQ20" s="23" t="b">
        <f t="shared" si="18"/>
        <v>0</v>
      </c>
      <c r="AR20" s="23" t="b">
        <f t="shared" si="19"/>
        <v>0</v>
      </c>
      <c r="AS20" s="23" t="b">
        <v>0</v>
      </c>
      <c r="AT20" s="23" t="b">
        <f t="shared" si="20"/>
        <v>0</v>
      </c>
      <c r="AU20" s="23" t="b">
        <f t="shared" si="21"/>
        <v>0</v>
      </c>
      <c r="AV20" s="23" t="b">
        <f t="shared" si="22"/>
        <v>0</v>
      </c>
      <c r="AW20" s="23" t="b">
        <f t="shared" si="23"/>
        <v>0</v>
      </c>
      <c r="AX20" s="23" t="s">
        <v>99</v>
      </c>
      <c r="AY20" s="23" t="b">
        <v>0</v>
      </c>
      <c r="AZ20" s="23" t="s">
        <v>105</v>
      </c>
    </row>
    <row r="21" spans="1:52" x14ac:dyDescent="0.2">
      <c r="A21" s="23">
        <v>21</v>
      </c>
      <c r="B21" s="23" t="s">
        <v>202</v>
      </c>
      <c r="C21" s="23" t="s">
        <v>213</v>
      </c>
      <c r="D21" s="23" t="b">
        <v>1</v>
      </c>
      <c r="E21" s="23" t="s">
        <v>214</v>
      </c>
      <c r="F21" s="23" t="s">
        <v>215</v>
      </c>
      <c r="G21" s="23" t="s">
        <v>92</v>
      </c>
      <c r="H21" s="23" t="s">
        <v>93</v>
      </c>
      <c r="I21" s="23" t="s">
        <v>216</v>
      </c>
      <c r="J21" s="23" t="s">
        <v>95</v>
      </c>
      <c r="K21" s="23" t="s">
        <v>96</v>
      </c>
      <c r="Q21" s="23">
        <v>2011</v>
      </c>
      <c r="R21" s="23" t="s">
        <v>99</v>
      </c>
      <c r="T21" s="23" t="s">
        <v>212</v>
      </c>
      <c r="U21" s="23" t="s">
        <v>111</v>
      </c>
      <c r="V21" s="23" t="s">
        <v>112</v>
      </c>
      <c r="W21" s="23" t="s">
        <v>103</v>
      </c>
      <c r="X21" s="23" t="s">
        <v>104</v>
      </c>
      <c r="Y21" s="23" t="b">
        <f t="shared" si="1"/>
        <v>0</v>
      </c>
      <c r="Z21" s="23" t="b">
        <f t="shared" si="2"/>
        <v>0</v>
      </c>
      <c r="AA21" s="23" t="b">
        <f t="shared" si="3"/>
        <v>0</v>
      </c>
      <c r="AB21" s="23" t="b">
        <f t="shared" si="4"/>
        <v>0</v>
      </c>
      <c r="AC21" s="23" t="b">
        <f t="shared" si="5"/>
        <v>0</v>
      </c>
      <c r="AD21" s="23" t="b">
        <f t="shared" si="6"/>
        <v>0</v>
      </c>
      <c r="AE21" s="23" t="b">
        <f t="shared" si="7"/>
        <v>0</v>
      </c>
      <c r="AF21" s="23" t="b">
        <f t="shared" si="8"/>
        <v>0</v>
      </c>
      <c r="AG21" s="23" t="b">
        <f t="shared" si="9"/>
        <v>0</v>
      </c>
      <c r="AH21" s="23" t="b">
        <f t="shared" si="10"/>
        <v>0</v>
      </c>
      <c r="AI21" s="23" t="b">
        <f t="shared" si="11"/>
        <v>0</v>
      </c>
      <c r="AJ21" s="23" t="b">
        <v>0</v>
      </c>
      <c r="AK21" s="23" t="b">
        <f t="shared" si="12"/>
        <v>0</v>
      </c>
      <c r="AL21" s="23" t="b">
        <f t="shared" si="13"/>
        <v>0</v>
      </c>
      <c r="AM21" s="23" t="b">
        <f t="shared" si="14"/>
        <v>0</v>
      </c>
      <c r="AN21" s="23" t="b">
        <f t="shared" si="15"/>
        <v>0</v>
      </c>
      <c r="AO21" s="23" t="b">
        <f t="shared" si="16"/>
        <v>0</v>
      </c>
      <c r="AP21" s="23" t="b">
        <f t="shared" si="17"/>
        <v>0</v>
      </c>
      <c r="AQ21" s="23" t="b">
        <f t="shared" si="18"/>
        <v>0</v>
      </c>
      <c r="AR21" s="23" t="b">
        <f t="shared" si="19"/>
        <v>0</v>
      </c>
      <c r="AS21" s="23" t="b">
        <v>0</v>
      </c>
      <c r="AT21" s="23" t="b">
        <f t="shared" si="20"/>
        <v>0</v>
      </c>
      <c r="AU21" s="23" t="b">
        <f t="shared" si="21"/>
        <v>0</v>
      </c>
      <c r="AV21" s="23" t="b">
        <f t="shared" si="22"/>
        <v>0</v>
      </c>
      <c r="AW21" s="23" t="b">
        <f t="shared" si="23"/>
        <v>0</v>
      </c>
      <c r="AX21" s="23" t="s">
        <v>99</v>
      </c>
      <c r="AY21" s="23" t="b">
        <v>0</v>
      </c>
      <c r="AZ21" s="23" t="s">
        <v>105</v>
      </c>
    </row>
    <row r="22" spans="1:52" x14ac:dyDescent="0.2">
      <c r="A22" s="23">
        <v>22</v>
      </c>
      <c r="B22" s="23" t="s">
        <v>202</v>
      </c>
      <c r="C22" s="23" t="s">
        <v>217</v>
      </c>
      <c r="D22" s="23" t="b">
        <v>1</v>
      </c>
      <c r="E22" s="23" t="s">
        <v>218</v>
      </c>
      <c r="F22" s="23" t="s">
        <v>219</v>
      </c>
      <c r="G22" s="23" t="s">
        <v>92</v>
      </c>
      <c r="H22" s="23" t="s">
        <v>116</v>
      </c>
      <c r="I22" s="23" t="s">
        <v>220</v>
      </c>
      <c r="J22" s="23" t="s">
        <v>95</v>
      </c>
      <c r="K22" s="23" t="s">
        <v>118</v>
      </c>
      <c r="P22" s="23">
        <v>1991</v>
      </c>
      <c r="Q22" s="23">
        <v>2011</v>
      </c>
      <c r="R22" s="23" t="s">
        <v>132</v>
      </c>
      <c r="T22" s="23" t="s">
        <v>221</v>
      </c>
      <c r="U22" s="23" t="s">
        <v>222</v>
      </c>
      <c r="V22" s="23" t="s">
        <v>223</v>
      </c>
      <c r="W22" s="23" t="s">
        <v>121</v>
      </c>
      <c r="X22" s="23" t="s">
        <v>104</v>
      </c>
      <c r="Y22" s="23" t="b">
        <f t="shared" si="1"/>
        <v>0</v>
      </c>
      <c r="Z22" s="23" t="b">
        <f t="shared" si="2"/>
        <v>0</v>
      </c>
      <c r="AA22" s="23" t="b">
        <f t="shared" si="3"/>
        <v>0</v>
      </c>
      <c r="AB22" s="23" t="b">
        <f t="shared" si="4"/>
        <v>0</v>
      </c>
      <c r="AC22" s="23" t="b">
        <f t="shared" si="5"/>
        <v>0</v>
      </c>
      <c r="AD22" s="23" t="b">
        <f t="shared" si="6"/>
        <v>0</v>
      </c>
      <c r="AE22" s="23" t="b">
        <f t="shared" si="7"/>
        <v>0</v>
      </c>
      <c r="AF22" s="23" t="b">
        <f t="shared" si="8"/>
        <v>0</v>
      </c>
      <c r="AG22" s="23" t="b">
        <f t="shared" si="9"/>
        <v>0</v>
      </c>
      <c r="AH22" s="23" t="b">
        <f t="shared" si="10"/>
        <v>0</v>
      </c>
      <c r="AI22" s="23" t="b">
        <f t="shared" si="11"/>
        <v>0</v>
      </c>
      <c r="AJ22" s="23" t="b">
        <v>1</v>
      </c>
      <c r="AK22" s="23" t="b">
        <f t="shared" si="12"/>
        <v>0</v>
      </c>
      <c r="AL22" s="23" t="b">
        <f t="shared" si="13"/>
        <v>0</v>
      </c>
      <c r="AM22" s="23" t="b">
        <f t="shared" si="14"/>
        <v>0</v>
      </c>
      <c r="AN22" s="23" t="b">
        <f t="shared" si="15"/>
        <v>0</v>
      </c>
      <c r="AO22" s="23" t="b">
        <f t="shared" si="16"/>
        <v>0</v>
      </c>
      <c r="AP22" s="23" t="b">
        <f t="shared" si="17"/>
        <v>0</v>
      </c>
      <c r="AQ22" s="23" t="b">
        <f t="shared" si="18"/>
        <v>0</v>
      </c>
      <c r="AR22" s="23" t="b">
        <f t="shared" si="19"/>
        <v>0</v>
      </c>
      <c r="AS22" s="23" t="b">
        <v>1</v>
      </c>
      <c r="AT22" s="23" t="b">
        <f t="shared" si="20"/>
        <v>0</v>
      </c>
      <c r="AU22" s="23" t="b">
        <f t="shared" si="21"/>
        <v>0</v>
      </c>
      <c r="AV22" s="23" t="b">
        <f t="shared" si="22"/>
        <v>0</v>
      </c>
      <c r="AW22" s="23" t="b">
        <f t="shared" si="23"/>
        <v>0</v>
      </c>
      <c r="AX22" s="23" t="s">
        <v>132</v>
      </c>
      <c r="AY22" s="23" t="b">
        <v>0</v>
      </c>
      <c r="AZ22" s="23" t="s">
        <v>105</v>
      </c>
    </row>
    <row r="23" spans="1:52" x14ac:dyDescent="0.2">
      <c r="A23" s="23">
        <v>23</v>
      </c>
      <c r="B23" s="23" t="s">
        <v>202</v>
      </c>
      <c r="C23" s="23" t="s">
        <v>224</v>
      </c>
      <c r="D23" s="23" t="b">
        <v>1</v>
      </c>
      <c r="E23" s="23" t="s">
        <v>225</v>
      </c>
      <c r="F23" s="23" t="s">
        <v>226</v>
      </c>
      <c r="G23" s="23" t="s">
        <v>92</v>
      </c>
      <c r="H23" s="23" t="s">
        <v>116</v>
      </c>
      <c r="I23" s="23" t="s">
        <v>227</v>
      </c>
      <c r="J23" s="23" t="s">
        <v>95</v>
      </c>
      <c r="K23" s="23" t="s">
        <v>118</v>
      </c>
      <c r="P23" s="23">
        <v>1991</v>
      </c>
      <c r="Q23" s="23">
        <v>2011</v>
      </c>
      <c r="R23" s="23" t="s">
        <v>132</v>
      </c>
      <c r="T23" s="23" t="s">
        <v>221</v>
      </c>
      <c r="U23" s="23" t="s">
        <v>222</v>
      </c>
      <c r="V23" s="23" t="s">
        <v>223</v>
      </c>
      <c r="W23" s="23" t="s">
        <v>121</v>
      </c>
      <c r="X23" s="23" t="s">
        <v>104</v>
      </c>
      <c r="Y23" s="23" t="b">
        <f t="shared" si="1"/>
        <v>0</v>
      </c>
      <c r="Z23" s="23" t="b">
        <f t="shared" si="2"/>
        <v>0</v>
      </c>
      <c r="AA23" s="23" t="b">
        <f t="shared" si="3"/>
        <v>0</v>
      </c>
      <c r="AB23" s="23" t="b">
        <f t="shared" si="4"/>
        <v>0</v>
      </c>
      <c r="AC23" s="23" t="b">
        <f t="shared" si="5"/>
        <v>0</v>
      </c>
      <c r="AD23" s="23" t="b">
        <f t="shared" si="6"/>
        <v>0</v>
      </c>
      <c r="AE23" s="23" t="b">
        <f t="shared" si="7"/>
        <v>0</v>
      </c>
      <c r="AF23" s="23" t="b">
        <f t="shared" si="8"/>
        <v>0</v>
      </c>
      <c r="AG23" s="23" t="b">
        <f t="shared" si="9"/>
        <v>0</v>
      </c>
      <c r="AH23" s="23" t="b">
        <f t="shared" si="10"/>
        <v>0</v>
      </c>
      <c r="AI23" s="23" t="b">
        <f t="shared" si="11"/>
        <v>0</v>
      </c>
      <c r="AJ23" s="23" t="b">
        <v>1</v>
      </c>
      <c r="AK23" s="23" t="b">
        <f t="shared" si="12"/>
        <v>0</v>
      </c>
      <c r="AL23" s="23" t="b">
        <f t="shared" si="13"/>
        <v>0</v>
      </c>
      <c r="AM23" s="23" t="b">
        <f t="shared" si="14"/>
        <v>0</v>
      </c>
      <c r="AN23" s="23" t="b">
        <f t="shared" si="15"/>
        <v>0</v>
      </c>
      <c r="AO23" s="23" t="b">
        <f t="shared" si="16"/>
        <v>0</v>
      </c>
      <c r="AP23" s="23" t="b">
        <f t="shared" si="17"/>
        <v>0</v>
      </c>
      <c r="AQ23" s="23" t="b">
        <f t="shared" si="18"/>
        <v>0</v>
      </c>
      <c r="AR23" s="23" t="b">
        <f t="shared" si="19"/>
        <v>0</v>
      </c>
      <c r="AS23" s="23" t="b">
        <v>1</v>
      </c>
      <c r="AT23" s="23" t="b">
        <f t="shared" si="20"/>
        <v>0</v>
      </c>
      <c r="AU23" s="23" t="b">
        <f t="shared" si="21"/>
        <v>0</v>
      </c>
      <c r="AV23" s="23" t="b">
        <f t="shared" si="22"/>
        <v>0</v>
      </c>
      <c r="AW23" s="23" t="b">
        <f t="shared" si="23"/>
        <v>0</v>
      </c>
      <c r="AX23" s="23" t="s">
        <v>132</v>
      </c>
      <c r="AY23" s="23" t="b">
        <v>0</v>
      </c>
      <c r="AZ23" s="23" t="s">
        <v>105</v>
      </c>
    </row>
    <row r="24" spans="1:52" x14ac:dyDescent="0.2">
      <c r="A24" s="23">
        <v>24</v>
      </c>
      <c r="B24" s="23" t="s">
        <v>202</v>
      </c>
      <c r="C24" s="23" t="s">
        <v>228</v>
      </c>
      <c r="D24" s="23" t="b">
        <v>1</v>
      </c>
      <c r="E24" s="23" t="s">
        <v>229</v>
      </c>
      <c r="F24" s="23" t="s">
        <v>230</v>
      </c>
      <c r="G24" s="23" t="s">
        <v>92</v>
      </c>
      <c r="H24" s="23" t="s">
        <v>93</v>
      </c>
      <c r="I24" s="23" t="s">
        <v>231</v>
      </c>
      <c r="J24" s="23" t="s">
        <v>180</v>
      </c>
      <c r="K24" s="23" t="s">
        <v>96</v>
      </c>
      <c r="Q24" s="23">
        <v>2001</v>
      </c>
      <c r="R24" s="23" t="s">
        <v>132</v>
      </c>
      <c r="T24" s="23" t="s">
        <v>100</v>
      </c>
      <c r="U24" s="23" t="s">
        <v>101</v>
      </c>
      <c r="V24" s="23" t="s">
        <v>102</v>
      </c>
      <c r="W24" s="23" t="s">
        <v>103</v>
      </c>
      <c r="X24" s="23" t="s">
        <v>104</v>
      </c>
      <c r="Y24" s="23" t="b">
        <f t="shared" si="1"/>
        <v>0</v>
      </c>
      <c r="Z24" s="23" t="b">
        <f t="shared" si="2"/>
        <v>0</v>
      </c>
      <c r="AA24" s="23" t="b">
        <f t="shared" si="3"/>
        <v>0</v>
      </c>
      <c r="AB24" s="23" t="b">
        <f t="shared" si="4"/>
        <v>0</v>
      </c>
      <c r="AC24" s="23" t="b">
        <f t="shared" si="5"/>
        <v>0</v>
      </c>
      <c r="AD24" s="23" t="b">
        <f t="shared" si="6"/>
        <v>0</v>
      </c>
      <c r="AE24" s="23" t="b">
        <f t="shared" si="7"/>
        <v>0</v>
      </c>
      <c r="AF24" s="23" t="b">
        <f t="shared" si="8"/>
        <v>0</v>
      </c>
      <c r="AG24" s="23" t="b">
        <f t="shared" si="9"/>
        <v>0</v>
      </c>
      <c r="AH24" s="23" t="b">
        <f t="shared" si="10"/>
        <v>0</v>
      </c>
      <c r="AI24" s="23" t="b">
        <f t="shared" si="11"/>
        <v>0</v>
      </c>
      <c r="AJ24" s="23" t="b">
        <v>0</v>
      </c>
      <c r="AK24" s="23" t="b">
        <f t="shared" si="12"/>
        <v>0</v>
      </c>
      <c r="AL24" s="23" t="b">
        <f t="shared" si="13"/>
        <v>0</v>
      </c>
      <c r="AM24" s="23" t="b">
        <f t="shared" si="14"/>
        <v>0</v>
      </c>
      <c r="AN24" s="23" t="b">
        <f t="shared" si="15"/>
        <v>0</v>
      </c>
      <c r="AO24" s="23" t="b">
        <f t="shared" si="16"/>
        <v>0</v>
      </c>
      <c r="AP24" s="23" t="b">
        <f t="shared" si="17"/>
        <v>0</v>
      </c>
      <c r="AQ24" s="23" t="b">
        <f t="shared" si="18"/>
        <v>0</v>
      </c>
      <c r="AR24" s="23" t="b">
        <f t="shared" si="19"/>
        <v>0</v>
      </c>
      <c r="AS24" s="23" t="b">
        <v>0</v>
      </c>
      <c r="AT24" s="23" t="b">
        <f t="shared" si="20"/>
        <v>0</v>
      </c>
      <c r="AU24" s="23" t="b">
        <f t="shared" si="21"/>
        <v>0</v>
      </c>
      <c r="AV24" s="23" t="b">
        <f t="shared" si="22"/>
        <v>0</v>
      </c>
      <c r="AW24" s="23" t="b">
        <f t="shared" si="23"/>
        <v>0</v>
      </c>
      <c r="AX24" s="23" t="s">
        <v>132</v>
      </c>
      <c r="AY24" s="23" t="b">
        <v>0</v>
      </c>
      <c r="AZ24" s="23" t="s">
        <v>105</v>
      </c>
    </row>
    <row r="25" spans="1:52" x14ac:dyDescent="0.2">
      <c r="A25" s="23">
        <v>25</v>
      </c>
      <c r="B25" s="23" t="s">
        <v>202</v>
      </c>
      <c r="C25" s="23" t="s">
        <v>232</v>
      </c>
      <c r="D25" s="23" t="b">
        <v>1</v>
      </c>
      <c r="E25" s="23" t="s">
        <v>233</v>
      </c>
      <c r="F25" s="23" t="s">
        <v>234</v>
      </c>
      <c r="G25" s="23" t="s">
        <v>92</v>
      </c>
      <c r="H25" s="23" t="s">
        <v>93</v>
      </c>
      <c r="I25" s="23" t="s">
        <v>235</v>
      </c>
      <c r="J25" s="23" t="s">
        <v>180</v>
      </c>
      <c r="K25" s="23" t="s">
        <v>96</v>
      </c>
      <c r="P25" s="23">
        <v>1961</v>
      </c>
      <c r="Q25" s="23">
        <v>2001</v>
      </c>
      <c r="R25" s="23" t="s">
        <v>132</v>
      </c>
      <c r="T25" s="23" t="s">
        <v>100</v>
      </c>
      <c r="U25" s="23" t="s">
        <v>101</v>
      </c>
      <c r="V25" s="23" t="s">
        <v>102</v>
      </c>
      <c r="W25" s="23" t="s">
        <v>103</v>
      </c>
      <c r="X25" s="23" t="s">
        <v>104</v>
      </c>
      <c r="Y25" s="23" t="b">
        <f t="shared" si="1"/>
        <v>0</v>
      </c>
      <c r="Z25" s="23" t="b">
        <f t="shared" si="2"/>
        <v>0</v>
      </c>
      <c r="AA25" s="23" t="b">
        <f t="shared" si="3"/>
        <v>0</v>
      </c>
      <c r="AB25" s="23" t="b">
        <f t="shared" si="4"/>
        <v>0</v>
      </c>
      <c r="AC25" s="23" t="b">
        <f t="shared" si="5"/>
        <v>0</v>
      </c>
      <c r="AD25" s="23" t="b">
        <f t="shared" si="6"/>
        <v>0</v>
      </c>
      <c r="AE25" s="23" t="b">
        <f t="shared" si="7"/>
        <v>0</v>
      </c>
      <c r="AF25" s="23" t="b">
        <f t="shared" si="8"/>
        <v>0</v>
      </c>
      <c r="AG25" s="23" t="b">
        <f t="shared" si="9"/>
        <v>0</v>
      </c>
      <c r="AH25" s="23" t="b">
        <f t="shared" si="10"/>
        <v>0</v>
      </c>
      <c r="AI25" s="23" t="b">
        <f t="shared" si="11"/>
        <v>0</v>
      </c>
      <c r="AJ25" s="23" t="b">
        <v>1</v>
      </c>
      <c r="AK25" s="23" t="b">
        <f t="shared" si="12"/>
        <v>0</v>
      </c>
      <c r="AL25" s="23" t="b">
        <f t="shared" si="13"/>
        <v>0</v>
      </c>
      <c r="AM25" s="23" t="b">
        <f t="shared" si="14"/>
        <v>0</v>
      </c>
      <c r="AN25" s="23" t="b">
        <f t="shared" si="15"/>
        <v>0</v>
      </c>
      <c r="AO25" s="23" t="b">
        <f t="shared" si="16"/>
        <v>0</v>
      </c>
      <c r="AP25" s="23" t="b">
        <f t="shared" si="17"/>
        <v>0</v>
      </c>
      <c r="AQ25" s="23" t="b">
        <f t="shared" si="18"/>
        <v>0</v>
      </c>
      <c r="AR25" s="23" t="b">
        <f t="shared" si="19"/>
        <v>0</v>
      </c>
      <c r="AS25" s="23" t="b">
        <v>1</v>
      </c>
      <c r="AT25" s="23" t="b">
        <f t="shared" si="20"/>
        <v>0</v>
      </c>
      <c r="AU25" s="23" t="b">
        <f t="shared" si="21"/>
        <v>0</v>
      </c>
      <c r="AV25" s="23" t="b">
        <f t="shared" si="22"/>
        <v>0</v>
      </c>
      <c r="AW25" s="23" t="b">
        <f t="shared" si="23"/>
        <v>0</v>
      </c>
      <c r="AX25" s="23" t="s">
        <v>132</v>
      </c>
      <c r="AY25" s="23" t="b">
        <v>0</v>
      </c>
      <c r="AZ25" s="23" t="s">
        <v>105</v>
      </c>
    </row>
    <row r="26" spans="1:52" x14ac:dyDescent="0.2">
      <c r="A26" s="23">
        <v>26</v>
      </c>
      <c r="B26" s="23" t="s">
        <v>202</v>
      </c>
      <c r="C26" s="23" t="s">
        <v>236</v>
      </c>
      <c r="D26" s="23" t="b">
        <v>1</v>
      </c>
      <c r="E26" s="23" t="s">
        <v>237</v>
      </c>
      <c r="F26" s="23" t="s">
        <v>238</v>
      </c>
      <c r="G26" s="23" t="s">
        <v>92</v>
      </c>
      <c r="H26" s="23" t="s">
        <v>239</v>
      </c>
      <c r="J26" s="23" t="s">
        <v>240</v>
      </c>
      <c r="K26" s="23" t="s">
        <v>241</v>
      </c>
      <c r="Q26" s="23">
        <v>2019</v>
      </c>
      <c r="R26" s="23" t="s">
        <v>242</v>
      </c>
      <c r="T26" s="23" t="s">
        <v>243</v>
      </c>
      <c r="U26" s="23" t="s">
        <v>244</v>
      </c>
      <c r="V26" s="23" t="s">
        <v>245</v>
      </c>
      <c r="W26" s="23" t="s">
        <v>103</v>
      </c>
      <c r="X26" s="23" t="s">
        <v>104</v>
      </c>
      <c r="Y26" s="23" t="b">
        <f t="shared" si="1"/>
        <v>0</v>
      </c>
      <c r="Z26" s="23" t="b">
        <f t="shared" si="2"/>
        <v>0</v>
      </c>
      <c r="AA26" s="23" t="b">
        <f t="shared" si="3"/>
        <v>0</v>
      </c>
      <c r="AB26" s="23" t="b">
        <f t="shared" si="4"/>
        <v>0</v>
      </c>
      <c r="AC26" s="23" t="b">
        <f t="shared" si="5"/>
        <v>0</v>
      </c>
      <c r="AD26" s="23" t="b">
        <f t="shared" si="6"/>
        <v>0</v>
      </c>
      <c r="AE26" s="23" t="b">
        <f t="shared" si="7"/>
        <v>0</v>
      </c>
      <c r="AF26" s="23" t="b">
        <f t="shared" si="8"/>
        <v>0</v>
      </c>
      <c r="AG26" s="23" t="b">
        <f t="shared" si="9"/>
        <v>0</v>
      </c>
      <c r="AH26" s="23" t="b">
        <f t="shared" si="10"/>
        <v>0</v>
      </c>
      <c r="AI26" s="23" t="b">
        <f t="shared" si="11"/>
        <v>0</v>
      </c>
      <c r="AJ26" s="23" t="b">
        <v>0</v>
      </c>
      <c r="AK26" s="23" t="b">
        <f t="shared" si="12"/>
        <v>0</v>
      </c>
      <c r="AL26" s="23" t="b">
        <f t="shared" si="13"/>
        <v>0</v>
      </c>
      <c r="AM26" s="23" t="b">
        <f t="shared" si="14"/>
        <v>0</v>
      </c>
      <c r="AN26" s="23" t="b">
        <f t="shared" si="15"/>
        <v>0</v>
      </c>
      <c r="AO26" s="23" t="b">
        <f t="shared" si="16"/>
        <v>0</v>
      </c>
      <c r="AP26" s="23" t="b">
        <f t="shared" si="17"/>
        <v>0</v>
      </c>
      <c r="AQ26" s="23" t="b">
        <f t="shared" si="18"/>
        <v>0</v>
      </c>
      <c r="AR26" s="23" t="b">
        <f t="shared" si="19"/>
        <v>0</v>
      </c>
      <c r="AS26" s="23" t="b">
        <v>0</v>
      </c>
      <c r="AT26" s="23" t="b">
        <f t="shared" si="20"/>
        <v>0</v>
      </c>
      <c r="AU26" s="23" t="b">
        <f t="shared" si="21"/>
        <v>0</v>
      </c>
      <c r="AV26" s="23" t="b">
        <f t="shared" si="22"/>
        <v>0</v>
      </c>
      <c r="AW26" s="23" t="b">
        <f t="shared" si="23"/>
        <v>0</v>
      </c>
      <c r="AX26" s="23" t="s">
        <v>242</v>
      </c>
      <c r="AY26" s="23" t="b">
        <v>1</v>
      </c>
      <c r="AZ26" s="23" t="s">
        <v>105</v>
      </c>
    </row>
    <row r="27" spans="1:52" x14ac:dyDescent="0.2">
      <c r="A27" s="23">
        <v>28</v>
      </c>
      <c r="B27" s="23" t="s">
        <v>202</v>
      </c>
      <c r="C27" s="23" t="s">
        <v>246</v>
      </c>
      <c r="D27" s="23" t="b">
        <v>1</v>
      </c>
      <c r="E27" s="23" t="s">
        <v>247</v>
      </c>
      <c r="F27" s="23" t="s">
        <v>248</v>
      </c>
      <c r="G27" s="23" t="s">
        <v>92</v>
      </c>
      <c r="H27" s="23" t="s">
        <v>239</v>
      </c>
      <c r="J27" s="23" t="s">
        <v>240</v>
      </c>
      <c r="K27" s="23" t="s">
        <v>249</v>
      </c>
      <c r="Q27" s="23">
        <v>2011</v>
      </c>
      <c r="R27" s="23" t="s">
        <v>242</v>
      </c>
      <c r="T27" s="23" t="s">
        <v>243</v>
      </c>
      <c r="U27" s="23" t="s">
        <v>244</v>
      </c>
      <c r="V27" s="23" t="s">
        <v>245</v>
      </c>
      <c r="W27" s="23" t="s">
        <v>103</v>
      </c>
      <c r="X27" s="23" t="s">
        <v>104</v>
      </c>
      <c r="Y27" s="23" t="b">
        <f t="shared" si="1"/>
        <v>0</v>
      </c>
      <c r="Z27" s="23" t="b">
        <f t="shared" si="2"/>
        <v>0</v>
      </c>
      <c r="AA27" s="23" t="b">
        <f t="shared" si="3"/>
        <v>0</v>
      </c>
      <c r="AB27" s="23" t="b">
        <f t="shared" si="4"/>
        <v>0</v>
      </c>
      <c r="AC27" s="23" t="b">
        <f t="shared" si="5"/>
        <v>0</v>
      </c>
      <c r="AD27" s="23" t="b">
        <f t="shared" si="6"/>
        <v>0</v>
      </c>
      <c r="AE27" s="23" t="b">
        <f t="shared" si="7"/>
        <v>0</v>
      </c>
      <c r="AF27" s="23" t="b">
        <f t="shared" si="8"/>
        <v>0</v>
      </c>
      <c r="AG27" s="23" t="b">
        <f t="shared" si="9"/>
        <v>0</v>
      </c>
      <c r="AH27" s="23" t="b">
        <f t="shared" si="10"/>
        <v>0</v>
      </c>
      <c r="AI27" s="23" t="b">
        <f t="shared" si="11"/>
        <v>0</v>
      </c>
      <c r="AJ27" s="23" t="b">
        <v>0</v>
      </c>
      <c r="AK27" s="23" t="b">
        <f t="shared" si="12"/>
        <v>0</v>
      </c>
      <c r="AL27" s="23" t="b">
        <f t="shared" si="13"/>
        <v>0</v>
      </c>
      <c r="AM27" s="23" t="b">
        <f t="shared" si="14"/>
        <v>0</v>
      </c>
      <c r="AN27" s="23" t="b">
        <f t="shared" si="15"/>
        <v>0</v>
      </c>
      <c r="AO27" s="23" t="b">
        <f t="shared" si="16"/>
        <v>0</v>
      </c>
      <c r="AP27" s="23" t="b">
        <f t="shared" si="17"/>
        <v>0</v>
      </c>
      <c r="AQ27" s="23" t="b">
        <f t="shared" si="18"/>
        <v>0</v>
      </c>
      <c r="AR27" s="23" t="b">
        <f t="shared" si="19"/>
        <v>0</v>
      </c>
      <c r="AS27" s="23" t="b">
        <v>0</v>
      </c>
      <c r="AT27" s="23" t="b">
        <f t="shared" si="20"/>
        <v>0</v>
      </c>
      <c r="AU27" s="23" t="b">
        <f t="shared" si="21"/>
        <v>0</v>
      </c>
      <c r="AV27" s="23" t="b">
        <f t="shared" si="22"/>
        <v>0</v>
      </c>
      <c r="AW27" s="23" t="b">
        <f t="shared" si="23"/>
        <v>0</v>
      </c>
      <c r="AX27" s="23" t="s">
        <v>242</v>
      </c>
      <c r="AY27" s="23" t="b">
        <v>1</v>
      </c>
      <c r="AZ27" s="23" t="s">
        <v>105</v>
      </c>
    </row>
    <row r="28" spans="1:52" x14ac:dyDescent="0.2">
      <c r="A28" s="23">
        <v>29</v>
      </c>
      <c r="B28" s="23" t="s">
        <v>202</v>
      </c>
      <c r="C28" s="23" t="s">
        <v>250</v>
      </c>
      <c r="D28" s="23" t="b">
        <v>1</v>
      </c>
      <c r="E28" s="23" t="s">
        <v>251</v>
      </c>
      <c r="F28" s="23" t="s">
        <v>252</v>
      </c>
      <c r="G28" s="23" t="s">
        <v>92</v>
      </c>
      <c r="H28" s="23" t="s">
        <v>178</v>
      </c>
      <c r="I28" s="23" t="s">
        <v>253</v>
      </c>
      <c r="J28" s="23" t="s">
        <v>180</v>
      </c>
      <c r="K28" s="23" t="s">
        <v>181</v>
      </c>
      <c r="Q28" s="23">
        <v>2011</v>
      </c>
      <c r="R28" s="23" t="s">
        <v>132</v>
      </c>
      <c r="T28" s="23" t="s">
        <v>100</v>
      </c>
      <c r="U28" s="23" t="s">
        <v>101</v>
      </c>
      <c r="V28" s="23" t="s">
        <v>102</v>
      </c>
      <c r="W28" s="23" t="s">
        <v>103</v>
      </c>
      <c r="X28" s="23" t="s">
        <v>104</v>
      </c>
      <c r="Y28" s="23" t="b">
        <f t="shared" si="1"/>
        <v>0</v>
      </c>
      <c r="Z28" s="23" t="b">
        <f t="shared" si="2"/>
        <v>0</v>
      </c>
      <c r="AA28" s="23" t="b">
        <f t="shared" si="3"/>
        <v>0</v>
      </c>
      <c r="AB28" s="23" t="b">
        <f t="shared" si="4"/>
        <v>0</v>
      </c>
      <c r="AC28" s="23" t="b">
        <f t="shared" si="5"/>
        <v>0</v>
      </c>
      <c r="AD28" s="23" t="b">
        <f t="shared" si="6"/>
        <v>0</v>
      </c>
      <c r="AE28" s="23" t="b">
        <f t="shared" si="7"/>
        <v>0</v>
      </c>
      <c r="AF28" s="23" t="b">
        <f t="shared" si="8"/>
        <v>0</v>
      </c>
      <c r="AG28" s="23" t="b">
        <f t="shared" si="9"/>
        <v>0</v>
      </c>
      <c r="AH28" s="23" t="b">
        <f t="shared" si="10"/>
        <v>0</v>
      </c>
      <c r="AI28" s="23" t="b">
        <f t="shared" si="11"/>
        <v>0</v>
      </c>
      <c r="AJ28" s="23" t="b">
        <v>0</v>
      </c>
      <c r="AK28" s="23" t="b">
        <f t="shared" si="12"/>
        <v>0</v>
      </c>
      <c r="AL28" s="23" t="b">
        <f t="shared" si="13"/>
        <v>0</v>
      </c>
      <c r="AM28" s="23" t="b">
        <f t="shared" si="14"/>
        <v>0</v>
      </c>
      <c r="AN28" s="23" t="b">
        <f t="shared" si="15"/>
        <v>0</v>
      </c>
      <c r="AO28" s="23" t="b">
        <f t="shared" si="16"/>
        <v>0</v>
      </c>
      <c r="AP28" s="23" t="b">
        <f t="shared" si="17"/>
        <v>0</v>
      </c>
      <c r="AQ28" s="23" t="b">
        <f t="shared" si="18"/>
        <v>0</v>
      </c>
      <c r="AR28" s="23" t="b">
        <f t="shared" si="19"/>
        <v>0</v>
      </c>
      <c r="AS28" s="23" t="b">
        <v>0</v>
      </c>
      <c r="AT28" s="23" t="b">
        <f t="shared" si="20"/>
        <v>0</v>
      </c>
      <c r="AU28" s="23" t="b">
        <f t="shared" si="21"/>
        <v>0</v>
      </c>
      <c r="AV28" s="23" t="b">
        <f t="shared" si="22"/>
        <v>0</v>
      </c>
      <c r="AW28" s="23" t="b">
        <f t="shared" si="23"/>
        <v>0</v>
      </c>
      <c r="AX28" s="23" t="s">
        <v>132</v>
      </c>
      <c r="AY28" s="23" t="b">
        <v>0</v>
      </c>
      <c r="AZ28" s="23" t="s">
        <v>105</v>
      </c>
    </row>
    <row r="29" spans="1:52" x14ac:dyDescent="0.2">
      <c r="A29" s="23">
        <v>30</v>
      </c>
      <c r="B29" s="23" t="s">
        <v>202</v>
      </c>
      <c r="C29" s="23" t="s">
        <v>254</v>
      </c>
      <c r="D29" s="23" t="b">
        <v>1</v>
      </c>
      <c r="E29" s="23" t="s">
        <v>255</v>
      </c>
      <c r="F29" s="23" t="s">
        <v>256</v>
      </c>
      <c r="G29" s="23" t="s">
        <v>92</v>
      </c>
      <c r="H29" s="23" t="s">
        <v>178</v>
      </c>
      <c r="I29" s="23" t="s">
        <v>257</v>
      </c>
      <c r="J29" s="23" t="s">
        <v>180</v>
      </c>
      <c r="K29" s="23" t="s">
        <v>181</v>
      </c>
      <c r="Q29" s="23">
        <v>2011</v>
      </c>
      <c r="R29" s="23" t="s">
        <v>132</v>
      </c>
      <c r="T29" s="23" t="s">
        <v>100</v>
      </c>
      <c r="U29" s="23" t="s">
        <v>101</v>
      </c>
      <c r="V29" s="23" t="s">
        <v>200</v>
      </c>
      <c r="W29" s="23" t="s">
        <v>103</v>
      </c>
      <c r="X29" s="23" t="s">
        <v>104</v>
      </c>
      <c r="Y29" s="23" t="b">
        <f t="shared" si="1"/>
        <v>0</v>
      </c>
      <c r="Z29" s="23" t="b">
        <f t="shared" si="2"/>
        <v>0</v>
      </c>
      <c r="AA29" s="23" t="b">
        <f t="shared" si="3"/>
        <v>0</v>
      </c>
      <c r="AB29" s="23" t="b">
        <f t="shared" si="4"/>
        <v>0</v>
      </c>
      <c r="AC29" s="23" t="b">
        <f t="shared" si="5"/>
        <v>0</v>
      </c>
      <c r="AD29" s="23" t="b">
        <f t="shared" si="6"/>
        <v>0</v>
      </c>
      <c r="AE29" s="23" t="b">
        <f t="shared" si="7"/>
        <v>0</v>
      </c>
      <c r="AF29" s="23" t="b">
        <f t="shared" si="8"/>
        <v>0</v>
      </c>
      <c r="AG29" s="23" t="b">
        <f t="shared" si="9"/>
        <v>0</v>
      </c>
      <c r="AH29" s="23" t="b">
        <f t="shared" si="10"/>
        <v>0</v>
      </c>
      <c r="AI29" s="23" t="b">
        <f t="shared" si="11"/>
        <v>0</v>
      </c>
      <c r="AJ29" s="23" t="b">
        <v>0</v>
      </c>
      <c r="AK29" s="23" t="b">
        <f t="shared" si="12"/>
        <v>0</v>
      </c>
      <c r="AL29" s="23" t="b">
        <f t="shared" si="13"/>
        <v>0</v>
      </c>
      <c r="AM29" s="23" t="b">
        <f t="shared" si="14"/>
        <v>0</v>
      </c>
      <c r="AN29" s="23" t="b">
        <f t="shared" si="15"/>
        <v>0</v>
      </c>
      <c r="AO29" s="23" t="b">
        <f t="shared" si="16"/>
        <v>0</v>
      </c>
      <c r="AP29" s="23" t="b">
        <f t="shared" si="17"/>
        <v>0</v>
      </c>
      <c r="AQ29" s="23" t="b">
        <f t="shared" si="18"/>
        <v>0</v>
      </c>
      <c r="AR29" s="23" t="b">
        <f t="shared" si="19"/>
        <v>0</v>
      </c>
      <c r="AS29" s="23" t="b">
        <v>0</v>
      </c>
      <c r="AT29" s="23" t="b">
        <f t="shared" si="20"/>
        <v>0</v>
      </c>
      <c r="AU29" s="23" t="b">
        <f t="shared" si="21"/>
        <v>0</v>
      </c>
      <c r="AV29" s="23" t="b">
        <f t="shared" si="22"/>
        <v>0</v>
      </c>
      <c r="AW29" s="23" t="b">
        <f t="shared" si="23"/>
        <v>0</v>
      </c>
      <c r="AX29" s="23" t="s">
        <v>132</v>
      </c>
      <c r="AY29" s="23" t="b">
        <v>0</v>
      </c>
      <c r="AZ29" s="23" t="s">
        <v>105</v>
      </c>
    </row>
    <row r="30" spans="1:52" x14ac:dyDescent="0.2">
      <c r="A30" s="23">
        <v>31</v>
      </c>
      <c r="B30" s="23" t="s">
        <v>202</v>
      </c>
      <c r="C30" s="23" t="s">
        <v>258</v>
      </c>
      <c r="D30" s="23" t="b">
        <v>1</v>
      </c>
      <c r="E30" s="23" t="s">
        <v>259</v>
      </c>
      <c r="F30" s="23" t="s">
        <v>256</v>
      </c>
      <c r="G30" s="23" t="s">
        <v>92</v>
      </c>
      <c r="H30" s="23" t="s">
        <v>178</v>
      </c>
      <c r="I30" s="23" t="s">
        <v>260</v>
      </c>
      <c r="J30" s="23" t="s">
        <v>180</v>
      </c>
      <c r="K30" s="23" t="s">
        <v>181</v>
      </c>
      <c r="Q30" s="23">
        <v>2011</v>
      </c>
      <c r="R30" s="23" t="s">
        <v>132</v>
      </c>
      <c r="T30" s="23" t="s">
        <v>100</v>
      </c>
      <c r="U30" s="23" t="s">
        <v>101</v>
      </c>
      <c r="V30" s="23" t="s">
        <v>200</v>
      </c>
      <c r="W30" s="23" t="s">
        <v>103</v>
      </c>
      <c r="X30" s="23" t="s">
        <v>104</v>
      </c>
      <c r="Y30" s="23" t="b">
        <f t="shared" si="1"/>
        <v>0</v>
      </c>
      <c r="Z30" s="23" t="b">
        <f t="shared" si="2"/>
        <v>0</v>
      </c>
      <c r="AA30" s="23" t="b">
        <f t="shared" si="3"/>
        <v>0</v>
      </c>
      <c r="AB30" s="23" t="b">
        <f t="shared" si="4"/>
        <v>0</v>
      </c>
      <c r="AC30" s="23" t="b">
        <f t="shared" si="5"/>
        <v>0</v>
      </c>
      <c r="AD30" s="23" t="b">
        <f t="shared" si="6"/>
        <v>0</v>
      </c>
      <c r="AE30" s="23" t="b">
        <f t="shared" si="7"/>
        <v>0</v>
      </c>
      <c r="AF30" s="23" t="b">
        <f t="shared" si="8"/>
        <v>0</v>
      </c>
      <c r="AG30" s="23" t="b">
        <f t="shared" si="9"/>
        <v>0</v>
      </c>
      <c r="AH30" s="23" t="b">
        <f t="shared" si="10"/>
        <v>0</v>
      </c>
      <c r="AI30" s="23" t="b">
        <f t="shared" si="11"/>
        <v>0</v>
      </c>
      <c r="AJ30" s="23" t="b">
        <v>0</v>
      </c>
      <c r="AK30" s="23" t="b">
        <f t="shared" si="12"/>
        <v>0</v>
      </c>
      <c r="AL30" s="23" t="b">
        <f t="shared" si="13"/>
        <v>0</v>
      </c>
      <c r="AM30" s="23" t="b">
        <f t="shared" si="14"/>
        <v>0</v>
      </c>
      <c r="AN30" s="23" t="b">
        <f t="shared" si="15"/>
        <v>0</v>
      </c>
      <c r="AO30" s="23" t="b">
        <f t="shared" si="16"/>
        <v>0</v>
      </c>
      <c r="AP30" s="23" t="b">
        <f t="shared" si="17"/>
        <v>0</v>
      </c>
      <c r="AQ30" s="23" t="b">
        <f t="shared" si="18"/>
        <v>0</v>
      </c>
      <c r="AR30" s="23" t="b">
        <f t="shared" si="19"/>
        <v>0</v>
      </c>
      <c r="AS30" s="23" t="b">
        <v>0</v>
      </c>
      <c r="AT30" s="23" t="b">
        <f t="shared" si="20"/>
        <v>0</v>
      </c>
      <c r="AU30" s="23" t="b">
        <f t="shared" si="21"/>
        <v>0</v>
      </c>
      <c r="AV30" s="23" t="b">
        <f t="shared" si="22"/>
        <v>0</v>
      </c>
      <c r="AW30" s="23" t="b">
        <f t="shared" si="23"/>
        <v>0</v>
      </c>
      <c r="AX30" s="23" t="s">
        <v>132</v>
      </c>
      <c r="AY30" s="23" t="b">
        <v>0</v>
      </c>
      <c r="AZ30" s="23" t="s">
        <v>105</v>
      </c>
    </row>
    <row r="31" spans="1:52" x14ac:dyDescent="0.2">
      <c r="A31" s="23">
        <v>32</v>
      </c>
      <c r="B31" s="23" t="s">
        <v>202</v>
      </c>
      <c r="C31" s="23" t="s">
        <v>261</v>
      </c>
      <c r="D31" s="23" t="b">
        <v>1</v>
      </c>
      <c r="E31" s="23" t="s">
        <v>262</v>
      </c>
      <c r="F31" s="23" t="s">
        <v>256</v>
      </c>
      <c r="G31" s="23" t="s">
        <v>92</v>
      </c>
      <c r="H31" s="23" t="s">
        <v>178</v>
      </c>
      <c r="I31" s="23" t="s">
        <v>263</v>
      </c>
      <c r="J31" s="23" t="s">
        <v>180</v>
      </c>
      <c r="K31" s="23" t="s">
        <v>181</v>
      </c>
      <c r="Q31" s="23">
        <v>2011</v>
      </c>
      <c r="R31" s="23" t="s">
        <v>132</v>
      </c>
      <c r="T31" s="23" t="s">
        <v>100</v>
      </c>
      <c r="U31" s="23" t="s">
        <v>101</v>
      </c>
      <c r="V31" s="23" t="s">
        <v>200</v>
      </c>
      <c r="W31" s="23" t="s">
        <v>103</v>
      </c>
      <c r="X31" s="23" t="s">
        <v>104</v>
      </c>
      <c r="Y31" s="23" t="b">
        <f t="shared" si="1"/>
        <v>0</v>
      </c>
      <c r="Z31" s="23" t="b">
        <f t="shared" si="2"/>
        <v>0</v>
      </c>
      <c r="AA31" s="23" t="b">
        <f t="shared" si="3"/>
        <v>0</v>
      </c>
      <c r="AB31" s="23" t="b">
        <f t="shared" si="4"/>
        <v>0</v>
      </c>
      <c r="AC31" s="23" t="b">
        <f t="shared" si="5"/>
        <v>0</v>
      </c>
      <c r="AD31" s="23" t="b">
        <f t="shared" si="6"/>
        <v>0</v>
      </c>
      <c r="AE31" s="23" t="b">
        <f t="shared" si="7"/>
        <v>0</v>
      </c>
      <c r="AF31" s="23" t="b">
        <f t="shared" si="8"/>
        <v>0</v>
      </c>
      <c r="AG31" s="23" t="b">
        <f t="shared" si="9"/>
        <v>0</v>
      </c>
      <c r="AH31" s="23" t="b">
        <f t="shared" si="10"/>
        <v>0</v>
      </c>
      <c r="AI31" s="23" t="b">
        <f t="shared" si="11"/>
        <v>0</v>
      </c>
      <c r="AJ31" s="23" t="b">
        <v>0</v>
      </c>
      <c r="AK31" s="23" t="b">
        <f t="shared" si="12"/>
        <v>0</v>
      </c>
      <c r="AL31" s="23" t="b">
        <f t="shared" si="13"/>
        <v>0</v>
      </c>
      <c r="AM31" s="23" t="b">
        <f t="shared" si="14"/>
        <v>0</v>
      </c>
      <c r="AN31" s="23" t="b">
        <f t="shared" si="15"/>
        <v>0</v>
      </c>
      <c r="AO31" s="23" t="b">
        <f t="shared" si="16"/>
        <v>0</v>
      </c>
      <c r="AP31" s="23" t="b">
        <f t="shared" si="17"/>
        <v>0</v>
      </c>
      <c r="AQ31" s="23" t="b">
        <f t="shared" si="18"/>
        <v>0</v>
      </c>
      <c r="AR31" s="23" t="b">
        <f t="shared" si="19"/>
        <v>0</v>
      </c>
      <c r="AS31" s="23" t="b">
        <v>0</v>
      </c>
      <c r="AT31" s="23" t="b">
        <f t="shared" si="20"/>
        <v>0</v>
      </c>
      <c r="AU31" s="23" t="b">
        <f t="shared" si="21"/>
        <v>0</v>
      </c>
      <c r="AV31" s="23" t="b">
        <f t="shared" si="22"/>
        <v>0</v>
      </c>
      <c r="AW31" s="23" t="b">
        <f t="shared" si="23"/>
        <v>0</v>
      </c>
      <c r="AX31" s="23" t="s">
        <v>132</v>
      </c>
      <c r="AY31" s="23" t="b">
        <v>0</v>
      </c>
      <c r="AZ31" s="23" t="s">
        <v>105</v>
      </c>
    </row>
    <row r="32" spans="1:52" x14ac:dyDescent="0.2">
      <c r="A32" s="23">
        <v>33</v>
      </c>
      <c r="B32" s="23" t="s">
        <v>202</v>
      </c>
      <c r="C32" s="23" t="s">
        <v>264</v>
      </c>
      <c r="D32" s="23" t="b">
        <v>1</v>
      </c>
      <c r="E32" s="23" t="s">
        <v>265</v>
      </c>
      <c r="F32" s="23" t="s">
        <v>266</v>
      </c>
      <c r="G32" s="23" t="s">
        <v>92</v>
      </c>
      <c r="H32" s="23" t="s">
        <v>178</v>
      </c>
      <c r="I32" s="23" t="s">
        <v>267</v>
      </c>
      <c r="J32" s="23" t="s">
        <v>180</v>
      </c>
      <c r="K32" s="23" t="s">
        <v>181</v>
      </c>
      <c r="Q32" s="23">
        <v>2011</v>
      </c>
      <c r="R32" s="23" t="s">
        <v>132</v>
      </c>
      <c r="T32" s="23" t="s">
        <v>100</v>
      </c>
      <c r="U32" s="23" t="s">
        <v>101</v>
      </c>
      <c r="V32" s="23" t="s">
        <v>102</v>
      </c>
      <c r="W32" s="23" t="s">
        <v>103</v>
      </c>
      <c r="X32" s="23" t="s">
        <v>104</v>
      </c>
      <c r="Y32" s="23" t="b">
        <f t="shared" si="1"/>
        <v>0</v>
      </c>
      <c r="Z32" s="23" t="b">
        <f t="shared" si="2"/>
        <v>0</v>
      </c>
      <c r="AA32" s="23" t="b">
        <f t="shared" si="3"/>
        <v>0</v>
      </c>
      <c r="AB32" s="23" t="b">
        <f t="shared" si="4"/>
        <v>0</v>
      </c>
      <c r="AC32" s="23" t="b">
        <f t="shared" si="5"/>
        <v>0</v>
      </c>
      <c r="AD32" s="23" t="b">
        <f t="shared" si="6"/>
        <v>0</v>
      </c>
      <c r="AE32" s="23" t="b">
        <f t="shared" si="7"/>
        <v>0</v>
      </c>
      <c r="AF32" s="23" t="b">
        <f t="shared" si="8"/>
        <v>0</v>
      </c>
      <c r="AG32" s="23" t="b">
        <f t="shared" si="9"/>
        <v>0</v>
      </c>
      <c r="AH32" s="23" t="b">
        <f t="shared" si="10"/>
        <v>0</v>
      </c>
      <c r="AI32" s="23" t="b">
        <f t="shared" si="11"/>
        <v>0</v>
      </c>
      <c r="AJ32" s="23" t="b">
        <v>0</v>
      </c>
      <c r="AK32" s="23" t="b">
        <f t="shared" si="12"/>
        <v>0</v>
      </c>
      <c r="AL32" s="23" t="b">
        <f t="shared" si="13"/>
        <v>0</v>
      </c>
      <c r="AM32" s="23" t="b">
        <f t="shared" si="14"/>
        <v>0</v>
      </c>
      <c r="AN32" s="23" t="b">
        <f t="shared" si="15"/>
        <v>0</v>
      </c>
      <c r="AO32" s="23" t="b">
        <f t="shared" si="16"/>
        <v>0</v>
      </c>
      <c r="AP32" s="23" t="b">
        <f t="shared" si="17"/>
        <v>0</v>
      </c>
      <c r="AQ32" s="23" t="b">
        <f t="shared" si="18"/>
        <v>0</v>
      </c>
      <c r="AR32" s="23" t="b">
        <f t="shared" si="19"/>
        <v>0</v>
      </c>
      <c r="AS32" s="23" t="b">
        <v>0</v>
      </c>
      <c r="AT32" s="23" t="b">
        <f t="shared" si="20"/>
        <v>0</v>
      </c>
      <c r="AU32" s="23" t="b">
        <f t="shared" si="21"/>
        <v>0</v>
      </c>
      <c r="AV32" s="23" t="b">
        <f t="shared" si="22"/>
        <v>0</v>
      </c>
      <c r="AW32" s="23" t="b">
        <f t="shared" si="23"/>
        <v>0</v>
      </c>
      <c r="AX32" s="23" t="s">
        <v>132</v>
      </c>
      <c r="AY32" s="23" t="b">
        <v>0</v>
      </c>
      <c r="AZ32" s="23" t="s">
        <v>105</v>
      </c>
    </row>
    <row r="33" spans="1:52" x14ac:dyDescent="0.2">
      <c r="A33" s="23">
        <v>63</v>
      </c>
      <c r="B33" s="23" t="s">
        <v>202</v>
      </c>
      <c r="C33" s="23" t="s">
        <v>268</v>
      </c>
      <c r="D33" s="23" t="b">
        <v>1</v>
      </c>
      <c r="E33" s="23" t="s">
        <v>269</v>
      </c>
      <c r="F33" s="23" t="s">
        <v>270</v>
      </c>
      <c r="G33" s="23" t="s">
        <v>92</v>
      </c>
      <c r="H33" s="23" t="s">
        <v>178</v>
      </c>
      <c r="I33" s="23" t="s">
        <v>271</v>
      </c>
      <c r="J33" s="23" t="s">
        <v>180</v>
      </c>
      <c r="K33" s="23" t="s">
        <v>181</v>
      </c>
      <c r="Q33" s="23">
        <v>2011</v>
      </c>
      <c r="R33" s="23" t="s">
        <v>132</v>
      </c>
      <c r="T33" s="23" t="s">
        <v>100</v>
      </c>
      <c r="U33" s="23" t="s">
        <v>101</v>
      </c>
      <c r="V33" s="23" t="s">
        <v>102</v>
      </c>
      <c r="W33" s="23" t="s">
        <v>103</v>
      </c>
      <c r="X33" s="23" t="s">
        <v>104</v>
      </c>
      <c r="Y33" s="23" t="b">
        <f t="shared" si="1"/>
        <v>0</v>
      </c>
      <c r="Z33" s="23" t="b">
        <f t="shared" si="2"/>
        <v>0</v>
      </c>
      <c r="AA33" s="23" t="b">
        <f t="shared" si="3"/>
        <v>0</v>
      </c>
      <c r="AB33" s="23" t="b">
        <f t="shared" si="4"/>
        <v>0</v>
      </c>
      <c r="AC33" s="23" t="b">
        <f t="shared" si="5"/>
        <v>0</v>
      </c>
      <c r="AD33" s="23" t="b">
        <f t="shared" si="6"/>
        <v>0</v>
      </c>
      <c r="AE33" s="23" t="b">
        <f t="shared" si="7"/>
        <v>0</v>
      </c>
      <c r="AF33" s="23" t="b">
        <f t="shared" si="8"/>
        <v>0</v>
      </c>
      <c r="AG33" s="23" t="b">
        <f t="shared" si="9"/>
        <v>0</v>
      </c>
      <c r="AH33" s="23" t="b">
        <f t="shared" si="10"/>
        <v>0</v>
      </c>
      <c r="AI33" s="23" t="b">
        <f t="shared" si="11"/>
        <v>0</v>
      </c>
      <c r="AJ33" s="23" t="b">
        <v>0</v>
      </c>
      <c r="AK33" s="23" t="b">
        <f t="shared" si="12"/>
        <v>0</v>
      </c>
      <c r="AL33" s="23" t="b">
        <f t="shared" si="13"/>
        <v>0</v>
      </c>
      <c r="AM33" s="23" t="b">
        <f t="shared" si="14"/>
        <v>0</v>
      </c>
      <c r="AN33" s="23" t="b">
        <f t="shared" si="15"/>
        <v>0</v>
      </c>
      <c r="AO33" s="23" t="b">
        <f t="shared" si="16"/>
        <v>0</v>
      </c>
      <c r="AP33" s="23" t="b">
        <f t="shared" si="17"/>
        <v>0</v>
      </c>
      <c r="AQ33" s="23" t="b">
        <f t="shared" si="18"/>
        <v>0</v>
      </c>
      <c r="AR33" s="23" t="b">
        <f t="shared" si="19"/>
        <v>0</v>
      </c>
      <c r="AS33" s="23" t="b">
        <v>0</v>
      </c>
      <c r="AT33" s="23" t="b">
        <f t="shared" si="20"/>
        <v>0</v>
      </c>
      <c r="AU33" s="23" t="b">
        <f t="shared" si="21"/>
        <v>0</v>
      </c>
      <c r="AV33" s="23" t="b">
        <f t="shared" si="22"/>
        <v>0</v>
      </c>
      <c r="AW33" s="23" t="b">
        <f t="shared" si="23"/>
        <v>0</v>
      </c>
      <c r="AX33" s="23" t="s">
        <v>132</v>
      </c>
      <c r="AY33" s="23" t="b">
        <v>0</v>
      </c>
      <c r="AZ33" s="23" t="s">
        <v>105</v>
      </c>
    </row>
    <row r="34" spans="1:52" x14ac:dyDescent="0.2">
      <c r="A34" s="23">
        <v>64</v>
      </c>
      <c r="B34" s="23" t="s">
        <v>202</v>
      </c>
      <c r="C34" s="23" t="s">
        <v>272</v>
      </c>
      <c r="D34" s="23" t="b">
        <v>1</v>
      </c>
      <c r="E34" s="23" t="s">
        <v>273</v>
      </c>
      <c r="F34" s="23" t="s">
        <v>274</v>
      </c>
      <c r="G34" s="23" t="s">
        <v>92</v>
      </c>
      <c r="H34" s="23" t="s">
        <v>178</v>
      </c>
      <c r="I34" s="23" t="s">
        <v>275</v>
      </c>
      <c r="J34" s="23" t="s">
        <v>180</v>
      </c>
      <c r="K34" s="23" t="s">
        <v>276</v>
      </c>
      <c r="Q34" s="23">
        <v>2011</v>
      </c>
      <c r="R34" s="23" t="s">
        <v>277</v>
      </c>
      <c r="T34" s="23" t="s">
        <v>100</v>
      </c>
      <c r="U34" s="23" t="s">
        <v>101</v>
      </c>
      <c r="V34" s="23" t="s">
        <v>102</v>
      </c>
      <c r="W34" s="23" t="s">
        <v>103</v>
      </c>
      <c r="X34" s="23" t="s">
        <v>104</v>
      </c>
      <c r="Y34" s="23" t="b">
        <f t="shared" si="1"/>
        <v>0</v>
      </c>
      <c r="Z34" s="23" t="b">
        <f t="shared" si="2"/>
        <v>0</v>
      </c>
      <c r="AA34" s="23" t="b">
        <f t="shared" si="3"/>
        <v>0</v>
      </c>
      <c r="AB34" s="23" t="b">
        <f t="shared" si="4"/>
        <v>0</v>
      </c>
      <c r="AC34" s="23" t="b">
        <f t="shared" si="5"/>
        <v>0</v>
      </c>
      <c r="AD34" s="23" t="b">
        <f t="shared" si="6"/>
        <v>0</v>
      </c>
      <c r="AE34" s="23" t="b">
        <f t="shared" si="7"/>
        <v>0</v>
      </c>
      <c r="AF34" s="23" t="b">
        <f t="shared" si="8"/>
        <v>0</v>
      </c>
      <c r="AG34" s="23" t="b">
        <f t="shared" si="9"/>
        <v>0</v>
      </c>
      <c r="AH34" s="23" t="b">
        <f t="shared" si="10"/>
        <v>0</v>
      </c>
      <c r="AI34" s="23" t="b">
        <f t="shared" si="11"/>
        <v>0</v>
      </c>
      <c r="AJ34" s="23" t="b">
        <v>0</v>
      </c>
      <c r="AK34" s="23" t="b">
        <f t="shared" si="12"/>
        <v>0</v>
      </c>
      <c r="AL34" s="23" t="b">
        <f t="shared" si="13"/>
        <v>0</v>
      </c>
      <c r="AM34" s="23" t="b">
        <f t="shared" si="14"/>
        <v>0</v>
      </c>
      <c r="AN34" s="23" t="b">
        <f t="shared" si="15"/>
        <v>0</v>
      </c>
      <c r="AO34" s="23" t="b">
        <f t="shared" si="16"/>
        <v>0</v>
      </c>
      <c r="AP34" s="23" t="b">
        <f t="shared" si="17"/>
        <v>0</v>
      </c>
      <c r="AQ34" s="23" t="b">
        <f t="shared" si="18"/>
        <v>0</v>
      </c>
      <c r="AR34" s="23" t="b">
        <f t="shared" si="19"/>
        <v>0</v>
      </c>
      <c r="AS34" s="23" t="b">
        <v>0</v>
      </c>
      <c r="AT34" s="23" t="b">
        <f t="shared" si="20"/>
        <v>0</v>
      </c>
      <c r="AU34" s="23" t="b">
        <f t="shared" si="21"/>
        <v>0</v>
      </c>
      <c r="AV34" s="23" t="b">
        <f t="shared" si="22"/>
        <v>0</v>
      </c>
      <c r="AW34" s="23" t="b">
        <f t="shared" si="23"/>
        <v>0</v>
      </c>
      <c r="AX34" s="23" t="s">
        <v>278</v>
      </c>
      <c r="AY34" s="23" t="b">
        <v>1</v>
      </c>
      <c r="AZ34" s="23" t="s">
        <v>105</v>
      </c>
    </row>
    <row r="35" spans="1:52" x14ac:dyDescent="0.2">
      <c r="A35" s="23">
        <v>68</v>
      </c>
      <c r="B35" s="23" t="s">
        <v>202</v>
      </c>
      <c r="C35" s="23" t="s">
        <v>279</v>
      </c>
      <c r="D35" s="23" t="b">
        <v>1</v>
      </c>
      <c r="E35" s="23" t="s">
        <v>280</v>
      </c>
      <c r="F35" s="23" t="s">
        <v>281</v>
      </c>
      <c r="G35" s="23" t="s">
        <v>92</v>
      </c>
      <c r="H35" s="23" t="s">
        <v>178</v>
      </c>
      <c r="I35" s="23" t="s">
        <v>282</v>
      </c>
      <c r="J35" s="23" t="s">
        <v>180</v>
      </c>
      <c r="K35" s="23" t="s">
        <v>276</v>
      </c>
      <c r="Q35" s="23">
        <v>2011</v>
      </c>
      <c r="R35" s="23" t="s">
        <v>277</v>
      </c>
      <c r="T35" s="23" t="s">
        <v>100</v>
      </c>
      <c r="U35" s="23" t="s">
        <v>101</v>
      </c>
      <c r="V35" s="23" t="s">
        <v>200</v>
      </c>
      <c r="W35" s="23" t="s">
        <v>103</v>
      </c>
      <c r="X35" s="23" t="s">
        <v>104</v>
      </c>
      <c r="Y35" s="23" t="b">
        <f t="shared" si="1"/>
        <v>0</v>
      </c>
      <c r="Z35" s="23" t="b">
        <f t="shared" si="2"/>
        <v>0</v>
      </c>
      <c r="AA35" s="23" t="b">
        <f t="shared" si="3"/>
        <v>0</v>
      </c>
      <c r="AB35" s="23" t="b">
        <f t="shared" si="4"/>
        <v>0</v>
      </c>
      <c r="AC35" s="23" t="b">
        <f t="shared" si="5"/>
        <v>0</v>
      </c>
      <c r="AD35" s="23" t="b">
        <f t="shared" si="6"/>
        <v>0</v>
      </c>
      <c r="AE35" s="23" t="b">
        <f t="shared" si="7"/>
        <v>0</v>
      </c>
      <c r="AF35" s="23" t="b">
        <f t="shared" si="8"/>
        <v>0</v>
      </c>
      <c r="AG35" s="23" t="b">
        <f t="shared" si="9"/>
        <v>0</v>
      </c>
      <c r="AH35" s="23" t="b">
        <f t="shared" si="10"/>
        <v>0</v>
      </c>
      <c r="AI35" s="23" t="b">
        <f t="shared" si="11"/>
        <v>0</v>
      </c>
      <c r="AJ35" s="23" t="b">
        <v>1</v>
      </c>
      <c r="AK35" s="23" t="b">
        <f t="shared" si="12"/>
        <v>0</v>
      </c>
      <c r="AL35" s="23" t="b">
        <f t="shared" si="13"/>
        <v>0</v>
      </c>
      <c r="AM35" s="23" t="b">
        <f t="shared" si="14"/>
        <v>0</v>
      </c>
      <c r="AN35" s="23" t="b">
        <f t="shared" si="15"/>
        <v>0</v>
      </c>
      <c r="AO35" s="23" t="b">
        <f t="shared" si="16"/>
        <v>0</v>
      </c>
      <c r="AP35" s="23" t="b">
        <f t="shared" si="17"/>
        <v>0</v>
      </c>
      <c r="AQ35" s="23" t="b">
        <f t="shared" si="18"/>
        <v>0</v>
      </c>
      <c r="AR35" s="23" t="b">
        <f t="shared" si="19"/>
        <v>0</v>
      </c>
      <c r="AS35" s="23" t="b">
        <v>1</v>
      </c>
      <c r="AT35" s="23" t="b">
        <f t="shared" si="20"/>
        <v>0</v>
      </c>
      <c r="AU35" s="23" t="b">
        <f t="shared" si="21"/>
        <v>0</v>
      </c>
      <c r="AV35" s="23" t="b">
        <f t="shared" si="22"/>
        <v>0</v>
      </c>
      <c r="AW35" s="23" t="b">
        <f t="shared" si="23"/>
        <v>0</v>
      </c>
      <c r="AX35" s="23" t="s">
        <v>278</v>
      </c>
      <c r="AY35" s="23" t="b">
        <v>1</v>
      </c>
      <c r="AZ35" s="23" t="s">
        <v>105</v>
      </c>
    </row>
    <row r="36" spans="1:52" x14ac:dyDescent="0.2">
      <c r="A36" s="23">
        <v>71</v>
      </c>
      <c r="B36" s="23" t="s">
        <v>202</v>
      </c>
      <c r="C36" s="23" t="s">
        <v>283</v>
      </c>
      <c r="D36" s="23" t="b">
        <v>1</v>
      </c>
      <c r="E36" s="23" t="s">
        <v>284</v>
      </c>
      <c r="F36" s="23" t="s">
        <v>281</v>
      </c>
      <c r="G36" s="23" t="s">
        <v>92</v>
      </c>
      <c r="H36" s="23" t="s">
        <v>178</v>
      </c>
      <c r="I36" s="23" t="s">
        <v>285</v>
      </c>
      <c r="J36" s="23" t="s">
        <v>180</v>
      </c>
      <c r="K36" s="23" t="s">
        <v>276</v>
      </c>
      <c r="Q36" s="23">
        <v>2011</v>
      </c>
      <c r="R36" s="23" t="s">
        <v>277</v>
      </c>
      <c r="T36" s="23" t="s">
        <v>100</v>
      </c>
      <c r="U36" s="23" t="s">
        <v>101</v>
      </c>
      <c r="V36" s="23" t="s">
        <v>200</v>
      </c>
      <c r="W36" s="23" t="s">
        <v>103</v>
      </c>
      <c r="X36" s="23" t="s">
        <v>104</v>
      </c>
      <c r="Y36" s="23" t="b">
        <f t="shared" si="1"/>
        <v>0</v>
      </c>
      <c r="Z36" s="23" t="b">
        <f t="shared" si="2"/>
        <v>0</v>
      </c>
      <c r="AA36" s="23" t="b">
        <f t="shared" si="3"/>
        <v>0</v>
      </c>
      <c r="AB36" s="23" t="b">
        <f t="shared" si="4"/>
        <v>0</v>
      </c>
      <c r="AC36" s="23" t="b">
        <f t="shared" si="5"/>
        <v>0</v>
      </c>
      <c r="AD36" s="23" t="b">
        <f t="shared" si="6"/>
        <v>0</v>
      </c>
      <c r="AE36" s="23" t="b">
        <f t="shared" si="7"/>
        <v>0</v>
      </c>
      <c r="AF36" s="23" t="b">
        <f t="shared" si="8"/>
        <v>0</v>
      </c>
      <c r="AG36" s="23" t="b">
        <f t="shared" si="9"/>
        <v>0</v>
      </c>
      <c r="AH36" s="23" t="b">
        <f t="shared" si="10"/>
        <v>0</v>
      </c>
      <c r="AI36" s="23" t="b">
        <f t="shared" si="11"/>
        <v>0</v>
      </c>
      <c r="AJ36" s="23" t="b">
        <v>0</v>
      </c>
      <c r="AK36" s="23" t="b">
        <f t="shared" si="12"/>
        <v>0</v>
      </c>
      <c r="AL36" s="23" t="b">
        <f t="shared" si="13"/>
        <v>0</v>
      </c>
      <c r="AM36" s="23" t="b">
        <f t="shared" si="14"/>
        <v>0</v>
      </c>
      <c r="AN36" s="23" t="b">
        <f t="shared" si="15"/>
        <v>0</v>
      </c>
      <c r="AO36" s="23" t="b">
        <f t="shared" si="16"/>
        <v>0</v>
      </c>
      <c r="AP36" s="23" t="b">
        <f t="shared" si="17"/>
        <v>0</v>
      </c>
      <c r="AQ36" s="23" t="b">
        <f t="shared" si="18"/>
        <v>0</v>
      </c>
      <c r="AR36" s="23" t="b">
        <f t="shared" si="19"/>
        <v>0</v>
      </c>
      <c r="AS36" s="23" t="b">
        <v>0</v>
      </c>
      <c r="AT36" s="23" t="b">
        <f t="shared" si="20"/>
        <v>0</v>
      </c>
      <c r="AU36" s="23" t="b">
        <f t="shared" si="21"/>
        <v>0</v>
      </c>
      <c r="AV36" s="23" t="b">
        <f t="shared" si="22"/>
        <v>0</v>
      </c>
      <c r="AW36" s="23" t="b">
        <f t="shared" si="23"/>
        <v>0</v>
      </c>
      <c r="AX36" s="23" t="s">
        <v>278</v>
      </c>
      <c r="AY36" s="23" t="b">
        <v>1</v>
      </c>
      <c r="AZ36" s="23" t="s">
        <v>105</v>
      </c>
    </row>
    <row r="37" spans="1:52" x14ac:dyDescent="0.2">
      <c r="A37" s="23">
        <v>72</v>
      </c>
      <c r="B37" s="23" t="s">
        <v>202</v>
      </c>
      <c r="C37" s="23" t="s">
        <v>288</v>
      </c>
      <c r="D37" s="23" t="b">
        <v>1</v>
      </c>
      <c r="E37" s="23" t="s">
        <v>289</v>
      </c>
      <c r="F37" s="23" t="s">
        <v>290</v>
      </c>
      <c r="G37" s="23" t="s">
        <v>92</v>
      </c>
      <c r="H37" s="23" t="s">
        <v>178</v>
      </c>
      <c r="I37" s="23" t="s">
        <v>291</v>
      </c>
      <c r="J37" s="23" t="s">
        <v>180</v>
      </c>
      <c r="K37" s="23" t="s">
        <v>276</v>
      </c>
      <c r="Q37" s="23">
        <v>2011</v>
      </c>
      <c r="R37" s="23" t="s">
        <v>277</v>
      </c>
      <c r="T37" s="23" t="s">
        <v>100</v>
      </c>
      <c r="U37" s="23" t="s">
        <v>101</v>
      </c>
      <c r="V37" s="23" t="s">
        <v>102</v>
      </c>
      <c r="W37" s="23" t="s">
        <v>103</v>
      </c>
      <c r="X37" s="23" t="s">
        <v>104</v>
      </c>
      <c r="Y37" s="23" t="b">
        <f t="shared" si="1"/>
        <v>0</v>
      </c>
      <c r="Z37" s="23" t="b">
        <f t="shared" si="2"/>
        <v>0</v>
      </c>
      <c r="AA37" s="23" t="b">
        <f t="shared" si="3"/>
        <v>0</v>
      </c>
      <c r="AB37" s="23" t="b">
        <f t="shared" si="4"/>
        <v>0</v>
      </c>
      <c r="AC37" s="23" t="b">
        <f t="shared" si="5"/>
        <v>0</v>
      </c>
      <c r="AD37" s="23" t="b">
        <f t="shared" si="6"/>
        <v>0</v>
      </c>
      <c r="AE37" s="23" t="b">
        <f t="shared" si="7"/>
        <v>0</v>
      </c>
      <c r="AF37" s="23" t="b">
        <f t="shared" si="8"/>
        <v>0</v>
      </c>
      <c r="AG37" s="23" t="b">
        <f t="shared" si="9"/>
        <v>0</v>
      </c>
      <c r="AH37" s="23" t="b">
        <f t="shared" si="10"/>
        <v>0</v>
      </c>
      <c r="AI37" s="23" t="b">
        <f t="shared" si="11"/>
        <v>0</v>
      </c>
      <c r="AJ37" s="23" t="b">
        <v>0</v>
      </c>
      <c r="AK37" s="23" t="b">
        <f t="shared" si="12"/>
        <v>0</v>
      </c>
      <c r="AL37" s="23" t="b">
        <f t="shared" si="13"/>
        <v>0</v>
      </c>
      <c r="AM37" s="23" t="b">
        <f t="shared" si="14"/>
        <v>0</v>
      </c>
      <c r="AN37" s="23" t="b">
        <f t="shared" si="15"/>
        <v>0</v>
      </c>
      <c r="AO37" s="23" t="b">
        <f t="shared" si="16"/>
        <v>0</v>
      </c>
      <c r="AP37" s="23" t="b">
        <f t="shared" si="17"/>
        <v>0</v>
      </c>
      <c r="AQ37" s="23" t="b">
        <f t="shared" si="18"/>
        <v>0</v>
      </c>
      <c r="AR37" s="23" t="b">
        <f t="shared" si="19"/>
        <v>0</v>
      </c>
      <c r="AS37" s="23" t="b">
        <v>0</v>
      </c>
      <c r="AT37" s="23" t="b">
        <f t="shared" si="20"/>
        <v>0</v>
      </c>
      <c r="AU37" s="23" t="b">
        <f t="shared" si="21"/>
        <v>0</v>
      </c>
      <c r="AV37" s="23" t="b">
        <f t="shared" si="22"/>
        <v>0</v>
      </c>
      <c r="AW37" s="23" t="b">
        <f t="shared" si="23"/>
        <v>0</v>
      </c>
      <c r="AX37" s="23" t="s">
        <v>278</v>
      </c>
      <c r="AY37" s="23" t="b">
        <v>1</v>
      </c>
      <c r="AZ37" s="23" t="s">
        <v>105</v>
      </c>
    </row>
    <row r="38" spans="1:52" x14ac:dyDescent="0.2">
      <c r="A38" s="23">
        <v>73</v>
      </c>
      <c r="B38" s="23" t="s">
        <v>202</v>
      </c>
      <c r="C38" s="23" t="s">
        <v>292</v>
      </c>
      <c r="D38" s="23" t="b">
        <v>1</v>
      </c>
      <c r="E38" s="23" t="s">
        <v>293</v>
      </c>
      <c r="F38" s="23" t="s">
        <v>294</v>
      </c>
      <c r="G38" s="23" t="s">
        <v>92</v>
      </c>
      <c r="H38" s="23" t="s">
        <v>178</v>
      </c>
      <c r="I38" s="23" t="s">
        <v>295</v>
      </c>
      <c r="J38" s="23" t="s">
        <v>180</v>
      </c>
      <c r="K38" s="23" t="s">
        <v>276</v>
      </c>
      <c r="Q38" s="23">
        <v>2011</v>
      </c>
      <c r="R38" s="23" t="s">
        <v>277</v>
      </c>
      <c r="T38" s="23" t="s">
        <v>100</v>
      </c>
      <c r="U38" s="23" t="s">
        <v>101</v>
      </c>
      <c r="V38" s="23" t="s">
        <v>102</v>
      </c>
      <c r="W38" s="23" t="s">
        <v>103</v>
      </c>
      <c r="X38" s="23" t="s">
        <v>104</v>
      </c>
      <c r="Y38" s="23" t="b">
        <f t="shared" si="1"/>
        <v>0</v>
      </c>
      <c r="Z38" s="23" t="b">
        <f t="shared" si="2"/>
        <v>0</v>
      </c>
      <c r="AA38" s="23" t="b">
        <f t="shared" si="3"/>
        <v>0</v>
      </c>
      <c r="AB38" s="23" t="b">
        <f t="shared" si="4"/>
        <v>0</v>
      </c>
      <c r="AC38" s="23" t="b">
        <f t="shared" si="5"/>
        <v>0</v>
      </c>
      <c r="AD38" s="23" t="b">
        <f t="shared" si="6"/>
        <v>0</v>
      </c>
      <c r="AE38" s="23" t="b">
        <f t="shared" si="7"/>
        <v>0</v>
      </c>
      <c r="AF38" s="23" t="b">
        <f t="shared" si="8"/>
        <v>0</v>
      </c>
      <c r="AG38" s="23" t="b">
        <f t="shared" si="9"/>
        <v>0</v>
      </c>
      <c r="AH38" s="23" t="b">
        <f t="shared" si="10"/>
        <v>0</v>
      </c>
      <c r="AI38" s="23" t="b">
        <f t="shared" si="11"/>
        <v>0</v>
      </c>
      <c r="AJ38" s="23" t="b">
        <v>0</v>
      </c>
      <c r="AK38" s="23" t="b">
        <f t="shared" si="12"/>
        <v>0</v>
      </c>
      <c r="AL38" s="23" t="b">
        <f t="shared" si="13"/>
        <v>0</v>
      </c>
      <c r="AM38" s="23" t="b">
        <f t="shared" si="14"/>
        <v>0</v>
      </c>
      <c r="AN38" s="23" t="b">
        <f t="shared" si="15"/>
        <v>0</v>
      </c>
      <c r="AO38" s="23" t="b">
        <f t="shared" si="16"/>
        <v>0</v>
      </c>
      <c r="AP38" s="23" t="b">
        <f t="shared" si="17"/>
        <v>0</v>
      </c>
      <c r="AQ38" s="23" t="b">
        <f t="shared" si="18"/>
        <v>0</v>
      </c>
      <c r="AR38" s="23" t="b">
        <f t="shared" si="19"/>
        <v>0</v>
      </c>
      <c r="AS38" s="23" t="b">
        <v>0</v>
      </c>
      <c r="AT38" s="23" t="b">
        <f t="shared" si="20"/>
        <v>0</v>
      </c>
      <c r="AU38" s="23" t="b">
        <f t="shared" si="21"/>
        <v>0</v>
      </c>
      <c r="AV38" s="23" t="b">
        <f t="shared" si="22"/>
        <v>0</v>
      </c>
      <c r="AW38" s="23" t="b">
        <f t="shared" si="23"/>
        <v>0</v>
      </c>
      <c r="AX38" s="23" t="s">
        <v>278</v>
      </c>
      <c r="AY38" s="23" t="b">
        <v>1</v>
      </c>
      <c r="AZ38" s="23" t="s">
        <v>105</v>
      </c>
    </row>
    <row r="39" spans="1:52" x14ac:dyDescent="0.2">
      <c r="A39" s="23">
        <v>74</v>
      </c>
      <c r="B39" s="23" t="s">
        <v>202</v>
      </c>
      <c r="C39" s="23" t="s">
        <v>296</v>
      </c>
      <c r="D39" s="23" t="b">
        <v>1</v>
      </c>
      <c r="E39" s="23" t="s">
        <v>297</v>
      </c>
      <c r="F39" s="23" t="s">
        <v>281</v>
      </c>
      <c r="G39" s="23" t="s">
        <v>92</v>
      </c>
      <c r="H39" s="23" t="s">
        <v>178</v>
      </c>
      <c r="I39" s="23" t="s">
        <v>298</v>
      </c>
      <c r="J39" s="23" t="s">
        <v>180</v>
      </c>
      <c r="K39" s="23" t="s">
        <v>276</v>
      </c>
      <c r="Q39" s="23">
        <v>2011</v>
      </c>
      <c r="R39" s="23" t="s">
        <v>277</v>
      </c>
      <c r="T39" s="23" t="s">
        <v>100</v>
      </c>
      <c r="U39" s="23" t="s">
        <v>101</v>
      </c>
      <c r="V39" s="23" t="s">
        <v>200</v>
      </c>
      <c r="W39" s="23" t="s">
        <v>103</v>
      </c>
      <c r="X39" s="23" t="s">
        <v>104</v>
      </c>
      <c r="Y39" s="23" t="b">
        <f t="shared" si="1"/>
        <v>0</v>
      </c>
      <c r="Z39" s="23" t="b">
        <f t="shared" si="2"/>
        <v>0</v>
      </c>
      <c r="AA39" s="23" t="b">
        <f t="shared" si="3"/>
        <v>0</v>
      </c>
      <c r="AB39" s="23" t="b">
        <f t="shared" si="4"/>
        <v>0</v>
      </c>
      <c r="AC39" s="23" t="b">
        <f t="shared" si="5"/>
        <v>0</v>
      </c>
      <c r="AD39" s="23" t="b">
        <f t="shared" si="6"/>
        <v>0</v>
      </c>
      <c r="AE39" s="23" t="b">
        <f t="shared" si="7"/>
        <v>0</v>
      </c>
      <c r="AF39" s="23" t="b">
        <f t="shared" si="8"/>
        <v>0</v>
      </c>
      <c r="AG39" s="23" t="b">
        <f t="shared" si="9"/>
        <v>0</v>
      </c>
      <c r="AH39" s="23" t="b">
        <f t="shared" si="10"/>
        <v>0</v>
      </c>
      <c r="AI39" s="23" t="b">
        <f t="shared" si="11"/>
        <v>0</v>
      </c>
      <c r="AJ39" s="23" t="b">
        <v>1</v>
      </c>
      <c r="AK39" s="23" t="b">
        <f t="shared" si="12"/>
        <v>0</v>
      </c>
      <c r="AL39" s="23" t="b">
        <f t="shared" si="13"/>
        <v>0</v>
      </c>
      <c r="AM39" s="23" t="b">
        <f t="shared" si="14"/>
        <v>0</v>
      </c>
      <c r="AN39" s="23" t="b">
        <f t="shared" si="15"/>
        <v>0</v>
      </c>
      <c r="AO39" s="23" t="b">
        <f t="shared" si="16"/>
        <v>0</v>
      </c>
      <c r="AP39" s="23" t="b">
        <f t="shared" si="17"/>
        <v>0</v>
      </c>
      <c r="AQ39" s="23" t="b">
        <f t="shared" si="18"/>
        <v>0</v>
      </c>
      <c r="AR39" s="23" t="b">
        <f t="shared" si="19"/>
        <v>0</v>
      </c>
      <c r="AS39" s="23" t="b">
        <v>1</v>
      </c>
      <c r="AT39" s="23" t="b">
        <f t="shared" si="20"/>
        <v>0</v>
      </c>
      <c r="AU39" s="23" t="b">
        <f t="shared" si="21"/>
        <v>0</v>
      </c>
      <c r="AV39" s="23" t="b">
        <f t="shared" si="22"/>
        <v>0</v>
      </c>
      <c r="AW39" s="23" t="b">
        <f t="shared" si="23"/>
        <v>0</v>
      </c>
      <c r="AX39" s="23" t="s">
        <v>278</v>
      </c>
      <c r="AY39" s="23" t="b">
        <v>1</v>
      </c>
      <c r="AZ39" s="23" t="s">
        <v>105</v>
      </c>
    </row>
    <row r="40" spans="1:52" x14ac:dyDescent="0.2">
      <c r="A40" s="23">
        <v>77</v>
      </c>
      <c r="B40" s="23" t="s">
        <v>202</v>
      </c>
      <c r="C40" s="23" t="s">
        <v>299</v>
      </c>
      <c r="D40" s="23" t="b">
        <v>1</v>
      </c>
      <c r="E40" s="23" t="s">
        <v>300</v>
      </c>
      <c r="F40" s="23" t="s">
        <v>301</v>
      </c>
      <c r="G40" s="23" t="s">
        <v>92</v>
      </c>
      <c r="H40" s="23" t="s">
        <v>178</v>
      </c>
      <c r="I40" s="23" t="s">
        <v>302</v>
      </c>
      <c r="J40" s="23" t="s">
        <v>180</v>
      </c>
      <c r="K40" s="23" t="s">
        <v>276</v>
      </c>
      <c r="Q40" s="23">
        <v>2011</v>
      </c>
      <c r="R40" s="23" t="s">
        <v>277</v>
      </c>
      <c r="T40" s="23" t="s">
        <v>100</v>
      </c>
      <c r="U40" s="23" t="s">
        <v>101</v>
      </c>
      <c r="V40" s="23" t="s">
        <v>200</v>
      </c>
      <c r="W40" s="23" t="s">
        <v>103</v>
      </c>
      <c r="X40" s="23" t="s">
        <v>104</v>
      </c>
      <c r="Y40" s="23" t="b">
        <f t="shared" si="1"/>
        <v>0</v>
      </c>
      <c r="Z40" s="23" t="b">
        <f t="shared" si="2"/>
        <v>0</v>
      </c>
      <c r="AA40" s="23" t="b">
        <f t="shared" si="3"/>
        <v>0</v>
      </c>
      <c r="AB40" s="23" t="b">
        <f t="shared" si="4"/>
        <v>0</v>
      </c>
      <c r="AC40" s="23" t="b">
        <f t="shared" si="5"/>
        <v>0</v>
      </c>
      <c r="AD40" s="23" t="b">
        <f t="shared" si="6"/>
        <v>0</v>
      </c>
      <c r="AE40" s="23" t="b">
        <f t="shared" si="7"/>
        <v>0</v>
      </c>
      <c r="AF40" s="23" t="b">
        <f t="shared" si="8"/>
        <v>0</v>
      </c>
      <c r="AG40" s="23" t="b">
        <f t="shared" si="9"/>
        <v>0</v>
      </c>
      <c r="AH40" s="23" t="b">
        <f t="shared" si="10"/>
        <v>0</v>
      </c>
      <c r="AI40" s="23" t="b">
        <f t="shared" si="11"/>
        <v>0</v>
      </c>
      <c r="AJ40" s="23" t="b">
        <v>1</v>
      </c>
      <c r="AK40" s="23" t="b">
        <f t="shared" si="12"/>
        <v>0</v>
      </c>
      <c r="AL40" s="23" t="b">
        <f t="shared" si="13"/>
        <v>0</v>
      </c>
      <c r="AM40" s="23" t="b">
        <f t="shared" si="14"/>
        <v>0</v>
      </c>
      <c r="AN40" s="23" t="b">
        <f t="shared" si="15"/>
        <v>0</v>
      </c>
      <c r="AO40" s="23" t="b">
        <f t="shared" si="16"/>
        <v>0</v>
      </c>
      <c r="AP40" s="23" t="b">
        <f t="shared" si="17"/>
        <v>0</v>
      </c>
      <c r="AQ40" s="23" t="b">
        <f t="shared" si="18"/>
        <v>0</v>
      </c>
      <c r="AR40" s="23" t="b">
        <f t="shared" si="19"/>
        <v>0</v>
      </c>
      <c r="AS40" s="23" t="b">
        <v>1</v>
      </c>
      <c r="AT40" s="23" t="b">
        <f t="shared" si="20"/>
        <v>0</v>
      </c>
      <c r="AU40" s="23" t="b">
        <f t="shared" si="21"/>
        <v>0</v>
      </c>
      <c r="AV40" s="23" t="b">
        <f t="shared" si="22"/>
        <v>0</v>
      </c>
      <c r="AW40" s="23" t="b">
        <f t="shared" si="23"/>
        <v>0</v>
      </c>
      <c r="AX40" s="23" t="s">
        <v>278</v>
      </c>
      <c r="AY40" s="23" t="b">
        <v>1</v>
      </c>
      <c r="AZ40" s="23" t="s">
        <v>105</v>
      </c>
    </row>
    <row r="41" spans="1:52" x14ac:dyDescent="0.2">
      <c r="A41" s="23">
        <v>84</v>
      </c>
      <c r="B41" s="23" t="s">
        <v>202</v>
      </c>
      <c r="C41" s="23" t="s">
        <v>303</v>
      </c>
      <c r="D41" s="23" t="b">
        <v>1</v>
      </c>
      <c r="E41" s="23" t="s">
        <v>304</v>
      </c>
      <c r="F41" s="23" t="s">
        <v>305</v>
      </c>
      <c r="G41" s="23" t="s">
        <v>92</v>
      </c>
      <c r="H41" s="23" t="s">
        <v>178</v>
      </c>
      <c r="I41" s="23" t="s">
        <v>306</v>
      </c>
      <c r="J41" s="23" t="s">
        <v>180</v>
      </c>
      <c r="K41" s="23" t="s">
        <v>276</v>
      </c>
      <c r="Q41" s="23">
        <v>2011</v>
      </c>
      <c r="R41" s="23" t="s">
        <v>277</v>
      </c>
      <c r="T41" s="23" t="s">
        <v>100</v>
      </c>
      <c r="U41" s="23" t="s">
        <v>101</v>
      </c>
      <c r="V41" s="23" t="s">
        <v>200</v>
      </c>
      <c r="W41" s="23" t="s">
        <v>103</v>
      </c>
      <c r="X41" s="23" t="s">
        <v>104</v>
      </c>
      <c r="Y41" s="23" t="b">
        <f t="shared" si="1"/>
        <v>0</v>
      </c>
      <c r="Z41" s="23" t="b">
        <f t="shared" si="2"/>
        <v>0</v>
      </c>
      <c r="AA41" s="23" t="b">
        <f t="shared" si="3"/>
        <v>0</v>
      </c>
      <c r="AB41" s="23" t="b">
        <f t="shared" si="4"/>
        <v>0</v>
      </c>
      <c r="AC41" s="23" t="b">
        <f t="shared" si="5"/>
        <v>0</v>
      </c>
      <c r="AD41" s="23" t="b">
        <f t="shared" si="6"/>
        <v>0</v>
      </c>
      <c r="AE41" s="23" t="b">
        <f t="shared" si="7"/>
        <v>0</v>
      </c>
      <c r="AF41" s="23" t="b">
        <f t="shared" si="8"/>
        <v>0</v>
      </c>
      <c r="AG41" s="23" t="b">
        <f t="shared" si="9"/>
        <v>0</v>
      </c>
      <c r="AH41" s="23" t="b">
        <f t="shared" si="10"/>
        <v>0</v>
      </c>
      <c r="AI41" s="23" t="b">
        <f t="shared" si="11"/>
        <v>0</v>
      </c>
      <c r="AJ41" s="23" t="b">
        <v>1</v>
      </c>
      <c r="AK41" s="23" t="b">
        <f t="shared" si="12"/>
        <v>0</v>
      </c>
      <c r="AL41" s="23" t="b">
        <f t="shared" si="13"/>
        <v>0</v>
      </c>
      <c r="AM41" s="23" t="b">
        <f t="shared" si="14"/>
        <v>0</v>
      </c>
      <c r="AN41" s="23" t="b">
        <f t="shared" si="15"/>
        <v>0</v>
      </c>
      <c r="AO41" s="23" t="b">
        <f t="shared" si="16"/>
        <v>0</v>
      </c>
      <c r="AP41" s="23" t="b">
        <f t="shared" si="17"/>
        <v>0</v>
      </c>
      <c r="AQ41" s="23" t="b">
        <f t="shared" si="18"/>
        <v>0</v>
      </c>
      <c r="AR41" s="23" t="b">
        <f t="shared" si="19"/>
        <v>0</v>
      </c>
      <c r="AS41" s="23" t="b">
        <v>1</v>
      </c>
      <c r="AT41" s="23" t="b">
        <f t="shared" si="20"/>
        <v>0</v>
      </c>
      <c r="AU41" s="23" t="b">
        <f t="shared" si="21"/>
        <v>0</v>
      </c>
      <c r="AV41" s="23" t="b">
        <f t="shared" si="22"/>
        <v>0</v>
      </c>
      <c r="AW41" s="23" t="b">
        <f t="shared" si="23"/>
        <v>0</v>
      </c>
      <c r="AX41" s="23" t="s">
        <v>278</v>
      </c>
      <c r="AY41" s="23" t="b">
        <v>1</v>
      </c>
      <c r="AZ41" s="23" t="s">
        <v>105</v>
      </c>
    </row>
    <row r="42" spans="1:52" x14ac:dyDescent="0.2">
      <c r="A42" s="23">
        <v>87</v>
      </c>
      <c r="B42" s="23" t="s">
        <v>202</v>
      </c>
      <c r="C42" s="23" t="s">
        <v>307</v>
      </c>
      <c r="D42" s="23" t="b">
        <v>1</v>
      </c>
      <c r="E42" s="23" t="s">
        <v>308</v>
      </c>
      <c r="F42" s="23" t="s">
        <v>309</v>
      </c>
      <c r="G42" s="23" t="s">
        <v>92</v>
      </c>
      <c r="H42" s="23" t="s">
        <v>178</v>
      </c>
      <c r="I42" s="23" t="s">
        <v>310</v>
      </c>
      <c r="J42" s="23" t="s">
        <v>180</v>
      </c>
      <c r="K42" s="23" t="s">
        <v>276</v>
      </c>
      <c r="Q42" s="23">
        <v>2011</v>
      </c>
      <c r="R42" s="23" t="s">
        <v>277</v>
      </c>
      <c r="T42" s="23" t="s">
        <v>100</v>
      </c>
      <c r="U42" s="23" t="s">
        <v>101</v>
      </c>
      <c r="V42" s="23" t="s">
        <v>200</v>
      </c>
      <c r="W42" s="23" t="s">
        <v>103</v>
      </c>
      <c r="X42" s="23" t="s">
        <v>104</v>
      </c>
      <c r="Y42" s="23" t="b">
        <f t="shared" si="1"/>
        <v>0</v>
      </c>
      <c r="Z42" s="23" t="b">
        <f t="shared" si="2"/>
        <v>0</v>
      </c>
      <c r="AA42" s="23" t="b">
        <f t="shared" si="3"/>
        <v>0</v>
      </c>
      <c r="AB42" s="23" t="b">
        <f t="shared" si="4"/>
        <v>0</v>
      </c>
      <c r="AC42" s="23" t="b">
        <f t="shared" si="5"/>
        <v>0</v>
      </c>
      <c r="AD42" s="23" t="b">
        <f t="shared" si="6"/>
        <v>0</v>
      </c>
      <c r="AE42" s="23" t="b">
        <f t="shared" si="7"/>
        <v>0</v>
      </c>
      <c r="AF42" s="23" t="b">
        <f t="shared" si="8"/>
        <v>0</v>
      </c>
      <c r="AG42" s="23" t="b">
        <f t="shared" si="9"/>
        <v>0</v>
      </c>
      <c r="AH42" s="23" t="b">
        <f t="shared" si="10"/>
        <v>0</v>
      </c>
      <c r="AI42" s="23" t="b">
        <f t="shared" si="11"/>
        <v>0</v>
      </c>
      <c r="AJ42" s="23" t="b">
        <v>1</v>
      </c>
      <c r="AK42" s="23" t="b">
        <f t="shared" si="12"/>
        <v>0</v>
      </c>
      <c r="AL42" s="23" t="b">
        <f t="shared" si="13"/>
        <v>0</v>
      </c>
      <c r="AM42" s="23" t="b">
        <f t="shared" si="14"/>
        <v>0</v>
      </c>
      <c r="AN42" s="23" t="b">
        <f t="shared" si="15"/>
        <v>0</v>
      </c>
      <c r="AO42" s="23" t="b">
        <f t="shared" si="16"/>
        <v>0</v>
      </c>
      <c r="AP42" s="23" t="b">
        <f t="shared" si="17"/>
        <v>0</v>
      </c>
      <c r="AQ42" s="23" t="b">
        <f t="shared" si="18"/>
        <v>0</v>
      </c>
      <c r="AR42" s="23" t="b">
        <f t="shared" si="19"/>
        <v>0</v>
      </c>
      <c r="AS42" s="23" t="b">
        <v>1</v>
      </c>
      <c r="AT42" s="23" t="b">
        <f t="shared" si="20"/>
        <v>0</v>
      </c>
      <c r="AU42" s="23" t="b">
        <f t="shared" si="21"/>
        <v>0</v>
      </c>
      <c r="AV42" s="23" t="b">
        <f t="shared" si="22"/>
        <v>0</v>
      </c>
      <c r="AW42" s="23" t="b">
        <f t="shared" si="23"/>
        <v>0</v>
      </c>
      <c r="AX42" s="23" t="s">
        <v>278</v>
      </c>
      <c r="AY42" s="23" t="b">
        <v>1</v>
      </c>
      <c r="AZ42" s="23" t="s">
        <v>105</v>
      </c>
    </row>
    <row r="43" spans="1:52" x14ac:dyDescent="0.2">
      <c r="A43" s="23">
        <v>88</v>
      </c>
      <c r="B43" s="23" t="s">
        <v>202</v>
      </c>
      <c r="C43" s="23" t="s">
        <v>311</v>
      </c>
      <c r="D43" s="23" t="b">
        <v>1</v>
      </c>
      <c r="E43" s="23" t="s">
        <v>312</v>
      </c>
      <c r="F43" s="23" t="s">
        <v>313</v>
      </c>
      <c r="G43" s="23" t="s">
        <v>92</v>
      </c>
      <c r="H43" s="23" t="s">
        <v>178</v>
      </c>
      <c r="I43" s="23" t="s">
        <v>314</v>
      </c>
      <c r="J43" s="23" t="s">
        <v>180</v>
      </c>
      <c r="K43" s="23" t="s">
        <v>276</v>
      </c>
      <c r="Q43" s="23">
        <v>2011</v>
      </c>
      <c r="R43" s="23" t="s">
        <v>277</v>
      </c>
      <c r="T43" s="23" t="s">
        <v>100</v>
      </c>
      <c r="U43" s="23" t="s">
        <v>101</v>
      </c>
      <c r="V43" s="23" t="s">
        <v>102</v>
      </c>
      <c r="W43" s="23" t="s">
        <v>103</v>
      </c>
      <c r="X43" s="23" t="s">
        <v>104</v>
      </c>
      <c r="Y43" s="23" t="b">
        <f t="shared" si="1"/>
        <v>0</v>
      </c>
      <c r="Z43" s="23" t="b">
        <f t="shared" si="2"/>
        <v>0</v>
      </c>
      <c r="AA43" s="23" t="b">
        <f t="shared" si="3"/>
        <v>0</v>
      </c>
      <c r="AB43" s="23" t="b">
        <f t="shared" si="4"/>
        <v>0</v>
      </c>
      <c r="AC43" s="23" t="b">
        <f t="shared" si="5"/>
        <v>0</v>
      </c>
      <c r="AD43" s="23" t="b">
        <f t="shared" si="6"/>
        <v>0</v>
      </c>
      <c r="AE43" s="23" t="b">
        <f t="shared" si="7"/>
        <v>0</v>
      </c>
      <c r="AF43" s="23" t="b">
        <f t="shared" si="8"/>
        <v>0</v>
      </c>
      <c r="AG43" s="23" t="b">
        <f t="shared" si="9"/>
        <v>0</v>
      </c>
      <c r="AH43" s="23" t="b">
        <f t="shared" si="10"/>
        <v>0</v>
      </c>
      <c r="AI43" s="23" t="b">
        <f t="shared" si="11"/>
        <v>0</v>
      </c>
      <c r="AJ43" s="23" t="b">
        <v>1</v>
      </c>
      <c r="AK43" s="23" t="b">
        <f t="shared" si="12"/>
        <v>0</v>
      </c>
      <c r="AL43" s="23" t="b">
        <f t="shared" si="13"/>
        <v>0</v>
      </c>
      <c r="AM43" s="23" t="b">
        <f t="shared" si="14"/>
        <v>0</v>
      </c>
      <c r="AN43" s="23" t="b">
        <f t="shared" si="15"/>
        <v>0</v>
      </c>
      <c r="AO43" s="23" t="b">
        <f t="shared" si="16"/>
        <v>0</v>
      </c>
      <c r="AP43" s="23" t="b">
        <f t="shared" si="17"/>
        <v>0</v>
      </c>
      <c r="AQ43" s="23" t="b">
        <f t="shared" si="18"/>
        <v>0</v>
      </c>
      <c r="AR43" s="23" t="b">
        <f t="shared" si="19"/>
        <v>0</v>
      </c>
      <c r="AS43" s="23" t="b">
        <v>1</v>
      </c>
      <c r="AT43" s="23" t="b">
        <f t="shared" si="20"/>
        <v>0</v>
      </c>
      <c r="AU43" s="23" t="b">
        <f t="shared" si="21"/>
        <v>0</v>
      </c>
      <c r="AV43" s="23" t="b">
        <f t="shared" si="22"/>
        <v>0</v>
      </c>
      <c r="AW43" s="23" t="b">
        <f t="shared" si="23"/>
        <v>0</v>
      </c>
      <c r="AX43" s="23" t="s">
        <v>278</v>
      </c>
      <c r="AY43" s="23" t="b">
        <v>1</v>
      </c>
      <c r="AZ43" s="23" t="s">
        <v>105</v>
      </c>
    </row>
    <row r="44" spans="1:52" x14ac:dyDescent="0.2">
      <c r="A44" s="23">
        <v>89</v>
      </c>
      <c r="B44" s="23" t="s">
        <v>202</v>
      </c>
      <c r="C44" s="23" t="s">
        <v>315</v>
      </c>
      <c r="D44" s="23" t="b">
        <v>1</v>
      </c>
      <c r="E44" s="23" t="s">
        <v>316</v>
      </c>
      <c r="F44" s="23" t="s">
        <v>317</v>
      </c>
      <c r="G44" s="23" t="s">
        <v>92</v>
      </c>
      <c r="H44" s="23" t="s">
        <v>178</v>
      </c>
      <c r="I44" s="23" t="s">
        <v>318</v>
      </c>
      <c r="J44" s="23" t="s">
        <v>180</v>
      </c>
      <c r="K44" s="23" t="s">
        <v>276</v>
      </c>
      <c r="Q44" s="23">
        <v>2011</v>
      </c>
      <c r="R44" s="23" t="s">
        <v>277</v>
      </c>
      <c r="T44" s="23" t="s">
        <v>100</v>
      </c>
      <c r="U44" s="23" t="s">
        <v>101</v>
      </c>
      <c r="V44" s="23" t="s">
        <v>102</v>
      </c>
      <c r="W44" s="23" t="s">
        <v>103</v>
      </c>
      <c r="X44" s="23" t="s">
        <v>104</v>
      </c>
      <c r="Y44" s="23" t="b">
        <f t="shared" si="1"/>
        <v>0</v>
      </c>
      <c r="Z44" s="23" t="b">
        <f t="shared" si="2"/>
        <v>0</v>
      </c>
      <c r="AA44" s="23" t="b">
        <f t="shared" si="3"/>
        <v>0</v>
      </c>
      <c r="AB44" s="23" t="b">
        <f t="shared" si="4"/>
        <v>0</v>
      </c>
      <c r="AC44" s="23" t="b">
        <f t="shared" si="5"/>
        <v>0</v>
      </c>
      <c r="AD44" s="23" t="b">
        <f t="shared" si="6"/>
        <v>0</v>
      </c>
      <c r="AE44" s="23" t="b">
        <f t="shared" si="7"/>
        <v>0</v>
      </c>
      <c r="AF44" s="23" t="b">
        <f t="shared" si="8"/>
        <v>0</v>
      </c>
      <c r="AG44" s="23" t="b">
        <f t="shared" si="9"/>
        <v>0</v>
      </c>
      <c r="AH44" s="23" t="b">
        <f t="shared" si="10"/>
        <v>0</v>
      </c>
      <c r="AI44" s="23" t="b">
        <f t="shared" si="11"/>
        <v>0</v>
      </c>
      <c r="AJ44" s="23" t="b">
        <v>1</v>
      </c>
      <c r="AK44" s="23" t="b">
        <f t="shared" si="12"/>
        <v>0</v>
      </c>
      <c r="AL44" s="23" t="b">
        <f t="shared" si="13"/>
        <v>0</v>
      </c>
      <c r="AM44" s="23" t="b">
        <f t="shared" si="14"/>
        <v>0</v>
      </c>
      <c r="AN44" s="23" t="b">
        <f t="shared" si="15"/>
        <v>0</v>
      </c>
      <c r="AO44" s="23" t="b">
        <f t="shared" si="16"/>
        <v>0</v>
      </c>
      <c r="AP44" s="23" t="b">
        <f t="shared" si="17"/>
        <v>0</v>
      </c>
      <c r="AQ44" s="23" t="b">
        <f t="shared" si="18"/>
        <v>0</v>
      </c>
      <c r="AR44" s="23" t="b">
        <f t="shared" si="19"/>
        <v>0</v>
      </c>
      <c r="AS44" s="23" t="b">
        <v>1</v>
      </c>
      <c r="AT44" s="23" t="b">
        <f t="shared" si="20"/>
        <v>0</v>
      </c>
      <c r="AU44" s="23" t="b">
        <f t="shared" si="21"/>
        <v>0</v>
      </c>
      <c r="AV44" s="23" t="b">
        <f t="shared" si="22"/>
        <v>0</v>
      </c>
      <c r="AW44" s="23" t="b">
        <f t="shared" si="23"/>
        <v>0</v>
      </c>
      <c r="AX44" s="23" t="s">
        <v>278</v>
      </c>
      <c r="AY44" s="23" t="b">
        <v>1</v>
      </c>
      <c r="AZ44" s="23" t="s">
        <v>105</v>
      </c>
    </row>
    <row r="45" spans="1:52" x14ac:dyDescent="0.2">
      <c r="A45" s="23">
        <v>90</v>
      </c>
      <c r="B45" s="23" t="s">
        <v>202</v>
      </c>
      <c r="C45" s="23" t="s">
        <v>319</v>
      </c>
      <c r="D45" s="23" t="b">
        <v>1</v>
      </c>
      <c r="E45" s="23" t="s">
        <v>320</v>
      </c>
      <c r="F45" s="23" t="s">
        <v>321</v>
      </c>
      <c r="G45" s="23" t="s">
        <v>92</v>
      </c>
      <c r="H45" s="23" t="s">
        <v>178</v>
      </c>
      <c r="I45" s="23" t="s">
        <v>322</v>
      </c>
      <c r="J45" s="23" t="s">
        <v>180</v>
      </c>
      <c r="K45" s="23" t="s">
        <v>276</v>
      </c>
      <c r="Q45" s="23">
        <v>2009</v>
      </c>
      <c r="R45" s="23" t="s">
        <v>277</v>
      </c>
      <c r="T45" s="23" t="s">
        <v>100</v>
      </c>
      <c r="U45" s="23" t="s">
        <v>101</v>
      </c>
      <c r="V45" s="23" t="s">
        <v>102</v>
      </c>
      <c r="W45" s="23" t="s">
        <v>103</v>
      </c>
      <c r="X45" s="23" t="s">
        <v>104</v>
      </c>
      <c r="Y45" s="23" t="b">
        <f t="shared" si="1"/>
        <v>0</v>
      </c>
      <c r="Z45" s="23" t="b">
        <f t="shared" si="2"/>
        <v>0</v>
      </c>
      <c r="AA45" s="23" t="b">
        <f t="shared" si="3"/>
        <v>0</v>
      </c>
      <c r="AB45" s="23" t="b">
        <f t="shared" si="4"/>
        <v>0</v>
      </c>
      <c r="AC45" s="23" t="b">
        <f t="shared" si="5"/>
        <v>0</v>
      </c>
      <c r="AD45" s="23" t="b">
        <f t="shared" si="6"/>
        <v>0</v>
      </c>
      <c r="AE45" s="23" t="b">
        <f t="shared" si="7"/>
        <v>0</v>
      </c>
      <c r="AF45" s="23" t="b">
        <f t="shared" si="8"/>
        <v>0</v>
      </c>
      <c r="AG45" s="23" t="b">
        <f t="shared" si="9"/>
        <v>0</v>
      </c>
      <c r="AH45" s="23" t="b">
        <f t="shared" si="10"/>
        <v>0</v>
      </c>
      <c r="AI45" s="23" t="b">
        <f t="shared" si="11"/>
        <v>0</v>
      </c>
      <c r="AJ45" s="23" t="b">
        <v>0</v>
      </c>
      <c r="AK45" s="23" t="b">
        <f t="shared" si="12"/>
        <v>0</v>
      </c>
      <c r="AL45" s="23" t="b">
        <f t="shared" si="13"/>
        <v>0</v>
      </c>
      <c r="AM45" s="23" t="b">
        <f t="shared" si="14"/>
        <v>0</v>
      </c>
      <c r="AN45" s="23" t="b">
        <f t="shared" si="15"/>
        <v>0</v>
      </c>
      <c r="AO45" s="23" t="b">
        <f t="shared" si="16"/>
        <v>0</v>
      </c>
      <c r="AP45" s="23" t="b">
        <f t="shared" si="17"/>
        <v>0</v>
      </c>
      <c r="AQ45" s="23" t="b">
        <f t="shared" si="18"/>
        <v>0</v>
      </c>
      <c r="AR45" s="23" t="b">
        <f t="shared" si="19"/>
        <v>0</v>
      </c>
      <c r="AS45" s="23" t="b">
        <v>0</v>
      </c>
      <c r="AT45" s="23" t="b">
        <f t="shared" si="20"/>
        <v>0</v>
      </c>
      <c r="AU45" s="23" t="b">
        <f t="shared" si="21"/>
        <v>0</v>
      </c>
      <c r="AV45" s="23" t="b">
        <f t="shared" si="22"/>
        <v>0</v>
      </c>
      <c r="AW45" s="23" t="b">
        <f t="shared" si="23"/>
        <v>0</v>
      </c>
      <c r="AX45" s="23" t="s">
        <v>278</v>
      </c>
      <c r="AY45" s="23" t="b">
        <v>1</v>
      </c>
      <c r="AZ45" s="23" t="s">
        <v>105</v>
      </c>
    </row>
    <row r="46" spans="1:52" x14ac:dyDescent="0.2">
      <c r="A46" s="23">
        <v>93</v>
      </c>
      <c r="B46" s="23" t="s">
        <v>323</v>
      </c>
      <c r="C46" s="23" t="s">
        <v>324</v>
      </c>
      <c r="D46" s="23" t="b">
        <v>1</v>
      </c>
      <c r="E46" s="23" t="s">
        <v>325</v>
      </c>
      <c r="F46" s="23" t="s">
        <v>326</v>
      </c>
      <c r="G46" s="23" t="s">
        <v>92</v>
      </c>
      <c r="H46" s="23" t="s">
        <v>93</v>
      </c>
      <c r="I46" s="23" t="s">
        <v>327</v>
      </c>
      <c r="J46" s="23" t="s">
        <v>180</v>
      </c>
      <c r="K46" s="23" t="s">
        <v>96</v>
      </c>
      <c r="Q46" s="23">
        <v>2001</v>
      </c>
      <c r="R46" s="23" t="s">
        <v>132</v>
      </c>
      <c r="T46" s="23" t="s">
        <v>100</v>
      </c>
      <c r="U46" s="23" t="s">
        <v>101</v>
      </c>
      <c r="V46" s="23" t="s">
        <v>102</v>
      </c>
      <c r="W46" s="23" t="s">
        <v>103</v>
      </c>
      <c r="X46" s="23" t="s">
        <v>104</v>
      </c>
      <c r="Y46" s="23" t="b">
        <f t="shared" si="1"/>
        <v>0</v>
      </c>
      <c r="Z46" s="23" t="b">
        <f t="shared" si="2"/>
        <v>0</v>
      </c>
      <c r="AA46" s="23" t="b">
        <f t="shared" si="3"/>
        <v>0</v>
      </c>
      <c r="AB46" s="23" t="b">
        <f t="shared" si="4"/>
        <v>0</v>
      </c>
      <c r="AC46" s="23" t="b">
        <f t="shared" si="5"/>
        <v>0</v>
      </c>
      <c r="AD46" s="23" t="b">
        <f t="shared" si="6"/>
        <v>0</v>
      </c>
      <c r="AE46" s="23" t="b">
        <f t="shared" si="7"/>
        <v>0</v>
      </c>
      <c r="AF46" s="23" t="b">
        <f t="shared" si="8"/>
        <v>0</v>
      </c>
      <c r="AG46" s="23" t="b">
        <f t="shared" si="9"/>
        <v>0</v>
      </c>
      <c r="AH46" s="23" t="b">
        <f t="shared" si="10"/>
        <v>0</v>
      </c>
      <c r="AI46" s="23" t="b">
        <f t="shared" si="11"/>
        <v>0</v>
      </c>
      <c r="AJ46" s="23" t="b">
        <v>0</v>
      </c>
      <c r="AK46" s="23" t="b">
        <f t="shared" si="12"/>
        <v>0</v>
      </c>
      <c r="AL46" s="23" t="b">
        <f t="shared" si="13"/>
        <v>0</v>
      </c>
      <c r="AM46" s="23" t="b">
        <f t="shared" si="14"/>
        <v>0</v>
      </c>
      <c r="AN46" s="23" t="b">
        <f t="shared" si="15"/>
        <v>0</v>
      </c>
      <c r="AO46" s="23" t="b">
        <f t="shared" si="16"/>
        <v>0</v>
      </c>
      <c r="AP46" s="23" t="b">
        <f t="shared" si="17"/>
        <v>0</v>
      </c>
      <c r="AQ46" s="23" t="b">
        <f t="shared" si="18"/>
        <v>0</v>
      </c>
      <c r="AR46" s="23" t="b">
        <f t="shared" si="19"/>
        <v>0</v>
      </c>
      <c r="AS46" s="23" t="b">
        <v>0</v>
      </c>
      <c r="AT46" s="23" t="b">
        <f t="shared" si="20"/>
        <v>0</v>
      </c>
      <c r="AU46" s="23" t="b">
        <f t="shared" si="21"/>
        <v>0</v>
      </c>
      <c r="AV46" s="23" t="b">
        <f t="shared" si="22"/>
        <v>0</v>
      </c>
      <c r="AW46" s="23" t="b">
        <f t="shared" si="23"/>
        <v>0</v>
      </c>
      <c r="AX46" s="23" t="s">
        <v>132</v>
      </c>
      <c r="AY46" s="23" t="b">
        <v>0</v>
      </c>
      <c r="AZ46" s="23" t="s">
        <v>105</v>
      </c>
    </row>
    <row r="47" spans="1:52" x14ac:dyDescent="0.2">
      <c r="A47" s="23">
        <v>94</v>
      </c>
      <c r="B47" s="23" t="s">
        <v>323</v>
      </c>
      <c r="C47" s="23" t="s">
        <v>328</v>
      </c>
      <c r="D47" s="23" t="b">
        <v>1</v>
      </c>
      <c r="E47" s="23" t="s">
        <v>329</v>
      </c>
      <c r="F47" s="23" t="s">
        <v>330</v>
      </c>
      <c r="G47" s="23" t="s">
        <v>92</v>
      </c>
      <c r="H47" s="23" t="s">
        <v>93</v>
      </c>
      <c r="I47" s="23" t="s">
        <v>331</v>
      </c>
      <c r="J47" s="23" t="s">
        <v>180</v>
      </c>
      <c r="K47" s="23" t="s">
        <v>96</v>
      </c>
      <c r="Q47" s="23">
        <v>2001</v>
      </c>
      <c r="R47" s="23" t="s">
        <v>132</v>
      </c>
      <c r="T47" s="23" t="s">
        <v>100</v>
      </c>
      <c r="U47" s="23" t="s">
        <v>101</v>
      </c>
      <c r="V47" s="23" t="s">
        <v>102</v>
      </c>
      <c r="W47" s="23" t="s">
        <v>103</v>
      </c>
      <c r="X47" s="23" t="s">
        <v>104</v>
      </c>
      <c r="Y47" s="23" t="b">
        <f t="shared" si="1"/>
        <v>0</v>
      </c>
      <c r="Z47" s="23" t="b">
        <f t="shared" si="2"/>
        <v>0</v>
      </c>
      <c r="AA47" s="23" t="b">
        <f t="shared" si="3"/>
        <v>0</v>
      </c>
      <c r="AB47" s="23" t="b">
        <f t="shared" si="4"/>
        <v>0</v>
      </c>
      <c r="AC47" s="23" t="b">
        <f t="shared" si="5"/>
        <v>0</v>
      </c>
      <c r="AD47" s="23" t="b">
        <f t="shared" si="6"/>
        <v>0</v>
      </c>
      <c r="AE47" s="23" t="b">
        <f t="shared" si="7"/>
        <v>0</v>
      </c>
      <c r="AF47" s="23" t="b">
        <f t="shared" si="8"/>
        <v>0</v>
      </c>
      <c r="AG47" s="23" t="b">
        <f t="shared" si="9"/>
        <v>0</v>
      </c>
      <c r="AH47" s="23" t="b">
        <f t="shared" si="10"/>
        <v>0</v>
      </c>
      <c r="AI47" s="23" t="b">
        <f t="shared" si="11"/>
        <v>0</v>
      </c>
      <c r="AJ47" s="23" t="b">
        <v>0</v>
      </c>
      <c r="AK47" s="23" t="b">
        <f t="shared" si="12"/>
        <v>0</v>
      </c>
      <c r="AL47" s="23" t="b">
        <f t="shared" si="13"/>
        <v>0</v>
      </c>
      <c r="AM47" s="23" t="b">
        <f t="shared" si="14"/>
        <v>0</v>
      </c>
      <c r="AN47" s="23" t="b">
        <f t="shared" si="15"/>
        <v>0</v>
      </c>
      <c r="AO47" s="23" t="b">
        <f t="shared" si="16"/>
        <v>0</v>
      </c>
      <c r="AP47" s="23" t="b">
        <f t="shared" si="17"/>
        <v>0</v>
      </c>
      <c r="AQ47" s="23" t="b">
        <f t="shared" si="18"/>
        <v>0</v>
      </c>
      <c r="AR47" s="23" t="b">
        <f t="shared" si="19"/>
        <v>0</v>
      </c>
      <c r="AS47" s="23" t="b">
        <v>0</v>
      </c>
      <c r="AT47" s="23" t="b">
        <f t="shared" si="20"/>
        <v>0</v>
      </c>
      <c r="AU47" s="23" t="b">
        <f t="shared" si="21"/>
        <v>0</v>
      </c>
      <c r="AV47" s="23" t="b">
        <f t="shared" si="22"/>
        <v>0</v>
      </c>
      <c r="AW47" s="23" t="b">
        <f t="shared" si="23"/>
        <v>0</v>
      </c>
      <c r="AX47" s="23" t="s">
        <v>132</v>
      </c>
      <c r="AY47" s="23" t="b">
        <v>0</v>
      </c>
      <c r="AZ47" s="23" t="s">
        <v>105</v>
      </c>
    </row>
    <row r="48" spans="1:52" x14ac:dyDescent="0.2">
      <c r="A48" s="23">
        <v>95</v>
      </c>
      <c r="B48" s="23" t="s">
        <v>323</v>
      </c>
      <c r="C48" s="23" t="s">
        <v>332</v>
      </c>
      <c r="D48" s="23" t="b">
        <v>1</v>
      </c>
      <c r="E48" s="23" t="s">
        <v>333</v>
      </c>
      <c r="F48" s="23" t="s">
        <v>334</v>
      </c>
      <c r="G48" s="23" t="s">
        <v>92</v>
      </c>
      <c r="H48" s="23" t="s">
        <v>93</v>
      </c>
      <c r="I48" s="23" t="s">
        <v>335</v>
      </c>
      <c r="J48" s="23" t="s">
        <v>336</v>
      </c>
      <c r="K48" s="23" t="s">
        <v>96</v>
      </c>
      <c r="P48" s="23">
        <v>1999</v>
      </c>
      <c r="Q48" s="23">
        <v>2007</v>
      </c>
      <c r="R48" s="23" t="s">
        <v>132</v>
      </c>
      <c r="T48" s="23" t="s">
        <v>207</v>
      </c>
      <c r="U48" s="23" t="s">
        <v>111</v>
      </c>
      <c r="V48" s="23" t="s">
        <v>112</v>
      </c>
      <c r="W48" s="23" t="s">
        <v>103</v>
      </c>
      <c r="X48" s="23" t="s">
        <v>104</v>
      </c>
      <c r="Y48" s="23" t="b">
        <f t="shared" si="1"/>
        <v>0</v>
      </c>
      <c r="Z48" s="23" t="b">
        <f t="shared" si="2"/>
        <v>0</v>
      </c>
      <c r="AA48" s="23" t="b">
        <f t="shared" si="3"/>
        <v>0</v>
      </c>
      <c r="AB48" s="23" t="b">
        <f t="shared" si="4"/>
        <v>0</v>
      </c>
      <c r="AC48" s="23" t="b">
        <f t="shared" si="5"/>
        <v>0</v>
      </c>
      <c r="AD48" s="23" t="b">
        <f t="shared" si="6"/>
        <v>0</v>
      </c>
      <c r="AE48" s="23" t="b">
        <f t="shared" si="7"/>
        <v>0</v>
      </c>
      <c r="AF48" s="23" t="b">
        <f t="shared" si="8"/>
        <v>0</v>
      </c>
      <c r="AG48" s="23" t="b">
        <f t="shared" si="9"/>
        <v>0</v>
      </c>
      <c r="AH48" s="23" t="b">
        <f t="shared" si="10"/>
        <v>0</v>
      </c>
      <c r="AI48" s="23" t="b">
        <f t="shared" si="11"/>
        <v>0</v>
      </c>
      <c r="AJ48" s="23" t="b">
        <v>1</v>
      </c>
      <c r="AK48" s="23" t="b">
        <f t="shared" si="12"/>
        <v>0</v>
      </c>
      <c r="AL48" s="23" t="b">
        <f t="shared" si="13"/>
        <v>0</v>
      </c>
      <c r="AM48" s="23" t="b">
        <f t="shared" si="14"/>
        <v>0</v>
      </c>
      <c r="AN48" s="23" t="b">
        <f t="shared" si="15"/>
        <v>0</v>
      </c>
      <c r="AO48" s="23" t="b">
        <f t="shared" si="16"/>
        <v>0</v>
      </c>
      <c r="AP48" s="23" t="b">
        <f t="shared" si="17"/>
        <v>0</v>
      </c>
      <c r="AQ48" s="23" t="b">
        <f t="shared" si="18"/>
        <v>0</v>
      </c>
      <c r="AR48" s="23" t="b">
        <f t="shared" si="19"/>
        <v>0</v>
      </c>
      <c r="AS48" s="23" t="b">
        <v>1</v>
      </c>
      <c r="AT48" s="23" t="b">
        <f t="shared" si="20"/>
        <v>0</v>
      </c>
      <c r="AU48" s="23" t="b">
        <f t="shared" si="21"/>
        <v>0</v>
      </c>
      <c r="AV48" s="23" t="b">
        <f t="shared" si="22"/>
        <v>0</v>
      </c>
      <c r="AW48" s="23" t="b">
        <f t="shared" si="23"/>
        <v>0</v>
      </c>
      <c r="AX48" s="23" t="s">
        <v>132</v>
      </c>
      <c r="AY48" s="23" t="b">
        <v>0</v>
      </c>
      <c r="AZ48" s="23" t="s">
        <v>105</v>
      </c>
    </row>
    <row r="49" spans="1:52" x14ac:dyDescent="0.2">
      <c r="A49" s="23">
        <v>96</v>
      </c>
      <c r="B49" s="23" t="s">
        <v>323</v>
      </c>
      <c r="C49" s="23" t="s">
        <v>337</v>
      </c>
      <c r="D49" s="23" t="b">
        <v>1</v>
      </c>
      <c r="E49" s="23" t="s">
        <v>338</v>
      </c>
      <c r="F49" s="23" t="s">
        <v>339</v>
      </c>
      <c r="G49" s="23" t="s">
        <v>92</v>
      </c>
      <c r="H49" s="23" t="s">
        <v>93</v>
      </c>
      <c r="I49" s="23" t="s">
        <v>340</v>
      </c>
      <c r="J49" s="23" t="s">
        <v>95</v>
      </c>
      <c r="K49" s="23" t="s">
        <v>96</v>
      </c>
      <c r="Q49" s="23">
        <v>2001</v>
      </c>
      <c r="R49" s="23" t="s">
        <v>119</v>
      </c>
      <c r="T49" s="23" t="s">
        <v>100</v>
      </c>
      <c r="U49" s="23" t="s">
        <v>101</v>
      </c>
      <c r="V49" s="23" t="s">
        <v>102</v>
      </c>
      <c r="W49" s="23" t="s">
        <v>103</v>
      </c>
      <c r="X49" s="23" t="s">
        <v>104</v>
      </c>
      <c r="Y49" s="23" t="b">
        <f t="shared" si="1"/>
        <v>0</v>
      </c>
      <c r="Z49" s="23" t="b">
        <f t="shared" si="2"/>
        <v>0</v>
      </c>
      <c r="AA49" s="23" t="b">
        <f t="shared" si="3"/>
        <v>0</v>
      </c>
      <c r="AB49" s="23" t="b">
        <f t="shared" si="4"/>
        <v>0</v>
      </c>
      <c r="AC49" s="23" t="b">
        <f t="shared" si="5"/>
        <v>0</v>
      </c>
      <c r="AD49" s="23" t="b">
        <f t="shared" si="6"/>
        <v>0</v>
      </c>
      <c r="AE49" s="23" t="b">
        <f t="shared" si="7"/>
        <v>0</v>
      </c>
      <c r="AF49" s="23" t="b">
        <f t="shared" si="8"/>
        <v>0</v>
      </c>
      <c r="AG49" s="23" t="b">
        <f t="shared" si="9"/>
        <v>0</v>
      </c>
      <c r="AH49" s="23" t="b">
        <f t="shared" si="10"/>
        <v>0</v>
      </c>
      <c r="AI49" s="23" t="b">
        <f t="shared" si="11"/>
        <v>0</v>
      </c>
      <c r="AJ49" s="23" t="b">
        <v>1</v>
      </c>
      <c r="AK49" s="23" t="b">
        <f t="shared" si="12"/>
        <v>0</v>
      </c>
      <c r="AL49" s="23" t="b">
        <f t="shared" si="13"/>
        <v>0</v>
      </c>
      <c r="AM49" s="23" t="b">
        <f t="shared" si="14"/>
        <v>0</v>
      </c>
      <c r="AN49" s="23" t="b">
        <f t="shared" si="15"/>
        <v>0</v>
      </c>
      <c r="AO49" s="23" t="b">
        <f t="shared" si="16"/>
        <v>0</v>
      </c>
      <c r="AP49" s="23" t="b">
        <f t="shared" si="17"/>
        <v>0</v>
      </c>
      <c r="AQ49" s="23" t="b">
        <f t="shared" si="18"/>
        <v>0</v>
      </c>
      <c r="AR49" s="23" t="b">
        <f t="shared" si="19"/>
        <v>0</v>
      </c>
      <c r="AS49" s="23" t="b">
        <v>1</v>
      </c>
      <c r="AT49" s="23" t="b">
        <f t="shared" si="20"/>
        <v>0</v>
      </c>
      <c r="AU49" s="23" t="b">
        <f t="shared" si="21"/>
        <v>0</v>
      </c>
      <c r="AV49" s="23" t="b">
        <f t="shared" si="22"/>
        <v>0</v>
      </c>
      <c r="AW49" s="23" t="b">
        <f t="shared" si="23"/>
        <v>0</v>
      </c>
      <c r="AX49" s="23" t="s">
        <v>99</v>
      </c>
      <c r="AY49" s="23" t="b">
        <v>0</v>
      </c>
      <c r="AZ49" s="23" t="s">
        <v>105</v>
      </c>
    </row>
    <row r="50" spans="1:52" x14ac:dyDescent="0.2">
      <c r="A50" s="23">
        <v>97</v>
      </c>
      <c r="B50" s="23" t="s">
        <v>323</v>
      </c>
      <c r="C50" s="23" t="s">
        <v>341</v>
      </c>
      <c r="D50" s="23" t="b">
        <v>1</v>
      </c>
      <c r="E50" s="23" t="s">
        <v>342</v>
      </c>
      <c r="F50" s="23" t="s">
        <v>343</v>
      </c>
      <c r="G50" s="23" t="s">
        <v>92</v>
      </c>
      <c r="H50" s="23" t="s">
        <v>93</v>
      </c>
      <c r="I50" s="23" t="s">
        <v>344</v>
      </c>
      <c r="J50" s="23" t="s">
        <v>95</v>
      </c>
      <c r="K50" s="23" t="s">
        <v>96</v>
      </c>
      <c r="Q50" s="23">
        <v>2001</v>
      </c>
      <c r="R50" s="23" t="s">
        <v>119</v>
      </c>
      <c r="T50" s="23" t="s">
        <v>100</v>
      </c>
      <c r="U50" s="23" t="s">
        <v>101</v>
      </c>
      <c r="V50" s="23" t="s">
        <v>102</v>
      </c>
      <c r="W50" s="23" t="s">
        <v>103</v>
      </c>
      <c r="X50" s="23" t="s">
        <v>104</v>
      </c>
      <c r="Y50" s="23" t="b">
        <f t="shared" si="1"/>
        <v>0</v>
      </c>
      <c r="Z50" s="23" t="b">
        <f t="shared" si="2"/>
        <v>0</v>
      </c>
      <c r="AA50" s="23" t="b">
        <f t="shared" si="3"/>
        <v>0</v>
      </c>
      <c r="AB50" s="23" t="b">
        <f t="shared" si="4"/>
        <v>0</v>
      </c>
      <c r="AC50" s="23" t="b">
        <f t="shared" si="5"/>
        <v>0</v>
      </c>
      <c r="AD50" s="23" t="b">
        <f t="shared" si="6"/>
        <v>0</v>
      </c>
      <c r="AE50" s="23" t="b">
        <f t="shared" si="7"/>
        <v>0</v>
      </c>
      <c r="AF50" s="23" t="b">
        <f t="shared" si="8"/>
        <v>0</v>
      </c>
      <c r="AG50" s="23" t="b">
        <f t="shared" si="9"/>
        <v>0</v>
      </c>
      <c r="AH50" s="23" t="b">
        <f t="shared" si="10"/>
        <v>0</v>
      </c>
      <c r="AI50" s="23" t="b">
        <f t="shared" si="11"/>
        <v>0</v>
      </c>
      <c r="AJ50" s="23" t="b">
        <v>1</v>
      </c>
      <c r="AK50" s="23" t="b">
        <f t="shared" si="12"/>
        <v>0</v>
      </c>
      <c r="AL50" s="23" t="b">
        <f t="shared" si="13"/>
        <v>0</v>
      </c>
      <c r="AM50" s="23" t="b">
        <f t="shared" si="14"/>
        <v>0</v>
      </c>
      <c r="AN50" s="23" t="b">
        <f t="shared" si="15"/>
        <v>0</v>
      </c>
      <c r="AO50" s="23" t="b">
        <f t="shared" si="16"/>
        <v>0</v>
      </c>
      <c r="AP50" s="23" t="b">
        <f t="shared" si="17"/>
        <v>0</v>
      </c>
      <c r="AQ50" s="23" t="b">
        <f t="shared" si="18"/>
        <v>0</v>
      </c>
      <c r="AR50" s="23" t="b">
        <f t="shared" si="19"/>
        <v>0</v>
      </c>
      <c r="AS50" s="23" t="b">
        <v>1</v>
      </c>
      <c r="AT50" s="23" t="b">
        <f t="shared" si="20"/>
        <v>0</v>
      </c>
      <c r="AU50" s="23" t="b">
        <f t="shared" si="21"/>
        <v>0</v>
      </c>
      <c r="AV50" s="23" t="b">
        <f t="shared" si="22"/>
        <v>0</v>
      </c>
      <c r="AW50" s="23" t="b">
        <f t="shared" si="23"/>
        <v>0</v>
      </c>
      <c r="AX50" s="23" t="s">
        <v>99</v>
      </c>
      <c r="AY50" s="23" t="b">
        <v>0</v>
      </c>
      <c r="AZ50" s="23" t="s">
        <v>105</v>
      </c>
    </row>
    <row r="51" spans="1:52" x14ac:dyDescent="0.2">
      <c r="A51" s="23">
        <v>98</v>
      </c>
      <c r="B51" s="23" t="s">
        <v>323</v>
      </c>
      <c r="C51" s="23" t="s">
        <v>345</v>
      </c>
      <c r="D51" s="23" t="b">
        <v>1</v>
      </c>
      <c r="E51" s="23" t="s">
        <v>346</v>
      </c>
      <c r="F51" s="23" t="s">
        <v>347</v>
      </c>
      <c r="G51" s="23" t="s">
        <v>92</v>
      </c>
      <c r="H51" s="23" t="s">
        <v>93</v>
      </c>
      <c r="I51" s="23" t="s">
        <v>348</v>
      </c>
      <c r="J51" s="23" t="s">
        <v>95</v>
      </c>
      <c r="K51" s="23" t="s">
        <v>96</v>
      </c>
      <c r="Q51" s="23">
        <v>2001</v>
      </c>
      <c r="R51" s="23" t="s">
        <v>119</v>
      </c>
      <c r="T51" s="23" t="s">
        <v>207</v>
      </c>
      <c r="U51" s="23" t="s">
        <v>111</v>
      </c>
      <c r="V51" s="23" t="s">
        <v>112</v>
      </c>
      <c r="W51" s="23" t="s">
        <v>103</v>
      </c>
      <c r="X51" s="23" t="s">
        <v>104</v>
      </c>
      <c r="Y51" s="23" t="b">
        <f t="shared" si="1"/>
        <v>0</v>
      </c>
      <c r="Z51" s="23" t="b">
        <f t="shared" si="2"/>
        <v>0</v>
      </c>
      <c r="AA51" s="23" t="b">
        <f t="shared" si="3"/>
        <v>0</v>
      </c>
      <c r="AB51" s="23" t="b">
        <f t="shared" si="4"/>
        <v>0</v>
      </c>
      <c r="AC51" s="23" t="b">
        <f t="shared" si="5"/>
        <v>0</v>
      </c>
      <c r="AD51" s="23" t="b">
        <f t="shared" si="6"/>
        <v>0</v>
      </c>
      <c r="AE51" s="23" t="b">
        <f t="shared" si="7"/>
        <v>0</v>
      </c>
      <c r="AF51" s="23" t="b">
        <f t="shared" si="8"/>
        <v>0</v>
      </c>
      <c r="AG51" s="23" t="b">
        <f t="shared" si="9"/>
        <v>0</v>
      </c>
      <c r="AH51" s="23" t="b">
        <f t="shared" si="10"/>
        <v>0</v>
      </c>
      <c r="AI51" s="23" t="b">
        <f t="shared" si="11"/>
        <v>0</v>
      </c>
      <c r="AJ51" s="23" t="b">
        <v>1</v>
      </c>
      <c r="AK51" s="23" t="b">
        <f t="shared" si="12"/>
        <v>0</v>
      </c>
      <c r="AL51" s="23" t="b">
        <f t="shared" si="13"/>
        <v>0</v>
      </c>
      <c r="AM51" s="23" t="b">
        <f t="shared" si="14"/>
        <v>0</v>
      </c>
      <c r="AN51" s="23" t="b">
        <f t="shared" si="15"/>
        <v>0</v>
      </c>
      <c r="AO51" s="23" t="b">
        <f t="shared" si="16"/>
        <v>0</v>
      </c>
      <c r="AP51" s="23" t="b">
        <f t="shared" si="17"/>
        <v>0</v>
      </c>
      <c r="AQ51" s="23" t="b">
        <f t="shared" si="18"/>
        <v>0</v>
      </c>
      <c r="AR51" s="23" t="b">
        <f t="shared" si="19"/>
        <v>0</v>
      </c>
      <c r="AS51" s="23" t="b">
        <v>1</v>
      </c>
      <c r="AT51" s="23" t="b">
        <f t="shared" si="20"/>
        <v>0</v>
      </c>
      <c r="AU51" s="23" t="b">
        <f t="shared" si="21"/>
        <v>0</v>
      </c>
      <c r="AV51" s="23" t="b">
        <f t="shared" si="22"/>
        <v>0</v>
      </c>
      <c r="AW51" s="23" t="b">
        <f t="shared" si="23"/>
        <v>0</v>
      </c>
      <c r="AX51" s="23" t="s">
        <v>99</v>
      </c>
      <c r="AY51" s="23" t="b">
        <v>0</v>
      </c>
      <c r="AZ51" s="23" t="s">
        <v>105</v>
      </c>
    </row>
    <row r="52" spans="1:52" x14ac:dyDescent="0.2">
      <c r="A52" s="23">
        <v>99</v>
      </c>
      <c r="B52" s="23" t="s">
        <v>323</v>
      </c>
      <c r="C52" s="23" t="s">
        <v>349</v>
      </c>
      <c r="D52" s="23" t="b">
        <v>1</v>
      </c>
      <c r="E52" s="23" t="s">
        <v>350</v>
      </c>
      <c r="F52" s="23" t="s">
        <v>351</v>
      </c>
      <c r="G52" s="23" t="s">
        <v>92</v>
      </c>
      <c r="H52" s="23" t="s">
        <v>116</v>
      </c>
      <c r="I52" s="23" t="s">
        <v>352</v>
      </c>
      <c r="J52" s="23" t="s">
        <v>353</v>
      </c>
      <c r="K52" s="23" t="s">
        <v>118</v>
      </c>
      <c r="Q52" s="23">
        <v>2016</v>
      </c>
      <c r="R52" s="23" t="s">
        <v>132</v>
      </c>
      <c r="T52" s="23" t="s">
        <v>207</v>
      </c>
      <c r="U52" s="23" t="s">
        <v>111</v>
      </c>
      <c r="V52" s="23" t="s">
        <v>112</v>
      </c>
      <c r="W52" s="23" t="s">
        <v>121</v>
      </c>
      <c r="X52" s="23" t="s">
        <v>104</v>
      </c>
      <c r="Y52" s="23" t="b">
        <f t="shared" si="1"/>
        <v>0</v>
      </c>
      <c r="Z52" s="23" t="b">
        <f t="shared" si="2"/>
        <v>0</v>
      </c>
      <c r="AA52" s="23" t="b">
        <f t="shared" si="3"/>
        <v>0</v>
      </c>
      <c r="AB52" s="23" t="b">
        <f t="shared" si="4"/>
        <v>0</v>
      </c>
      <c r="AC52" s="23" t="b">
        <f t="shared" si="5"/>
        <v>0</v>
      </c>
      <c r="AD52" s="23" t="b">
        <f t="shared" si="6"/>
        <v>0</v>
      </c>
      <c r="AE52" s="23" t="b">
        <f t="shared" si="7"/>
        <v>0</v>
      </c>
      <c r="AF52" s="23" t="b">
        <f t="shared" si="8"/>
        <v>0</v>
      </c>
      <c r="AG52" s="23" t="b">
        <f t="shared" si="9"/>
        <v>0</v>
      </c>
      <c r="AH52" s="23" t="b">
        <f t="shared" si="10"/>
        <v>0</v>
      </c>
      <c r="AI52" s="23" t="b">
        <f t="shared" si="11"/>
        <v>0</v>
      </c>
      <c r="AJ52" s="23" t="b">
        <v>1</v>
      </c>
      <c r="AK52" s="23" t="b">
        <f t="shared" si="12"/>
        <v>0</v>
      </c>
      <c r="AL52" s="23" t="b">
        <f t="shared" si="13"/>
        <v>0</v>
      </c>
      <c r="AM52" s="23" t="b">
        <f t="shared" si="14"/>
        <v>0</v>
      </c>
      <c r="AN52" s="23" t="b">
        <f t="shared" si="15"/>
        <v>0</v>
      </c>
      <c r="AO52" s="23" t="b">
        <f t="shared" si="16"/>
        <v>0</v>
      </c>
      <c r="AP52" s="23" t="b">
        <f t="shared" si="17"/>
        <v>0</v>
      </c>
      <c r="AQ52" s="23" t="b">
        <f t="shared" si="18"/>
        <v>0</v>
      </c>
      <c r="AR52" s="23" t="b">
        <f t="shared" si="19"/>
        <v>0</v>
      </c>
      <c r="AS52" s="23" t="b">
        <v>1</v>
      </c>
      <c r="AT52" s="23" t="b">
        <f t="shared" si="20"/>
        <v>0</v>
      </c>
      <c r="AU52" s="23" t="b">
        <f t="shared" si="21"/>
        <v>0</v>
      </c>
      <c r="AV52" s="23" t="b">
        <f t="shared" si="22"/>
        <v>0</v>
      </c>
      <c r="AW52" s="23" t="b">
        <f t="shared" si="23"/>
        <v>0</v>
      </c>
      <c r="AX52" s="23" t="s">
        <v>132</v>
      </c>
      <c r="AY52" s="23" t="b">
        <v>0</v>
      </c>
      <c r="AZ52" s="23" t="s">
        <v>105</v>
      </c>
    </row>
    <row r="53" spans="1:52" x14ac:dyDescent="0.2">
      <c r="A53" s="23">
        <v>100</v>
      </c>
      <c r="B53" s="23" t="s">
        <v>354</v>
      </c>
      <c r="C53" s="23" t="s">
        <v>355</v>
      </c>
      <c r="D53" s="23" t="b">
        <v>1</v>
      </c>
      <c r="E53" s="23" t="s">
        <v>356</v>
      </c>
      <c r="F53" s="23" t="s">
        <v>357</v>
      </c>
      <c r="G53" s="23" t="s">
        <v>92</v>
      </c>
      <c r="H53" s="23" t="s">
        <v>178</v>
      </c>
      <c r="I53" s="23" t="s">
        <v>358</v>
      </c>
      <c r="J53" s="23" t="s">
        <v>180</v>
      </c>
      <c r="K53" s="23" t="s">
        <v>276</v>
      </c>
      <c r="Q53" s="23">
        <v>2009</v>
      </c>
      <c r="R53" s="23" t="s">
        <v>277</v>
      </c>
      <c r="T53" s="23" t="s">
        <v>100</v>
      </c>
      <c r="U53" s="23" t="s">
        <v>101</v>
      </c>
      <c r="V53" s="23" t="s">
        <v>102</v>
      </c>
      <c r="W53" s="23" t="s">
        <v>103</v>
      </c>
      <c r="X53" s="23" t="s">
        <v>104</v>
      </c>
      <c r="Y53" s="23" t="b">
        <f t="shared" si="1"/>
        <v>0</v>
      </c>
      <c r="Z53" s="23" t="b">
        <f t="shared" si="2"/>
        <v>0</v>
      </c>
      <c r="AA53" s="23" t="b">
        <f t="shared" si="3"/>
        <v>0</v>
      </c>
      <c r="AB53" s="23" t="b">
        <f t="shared" si="4"/>
        <v>0</v>
      </c>
      <c r="AC53" s="23" t="b">
        <f t="shared" si="5"/>
        <v>0</v>
      </c>
      <c r="AD53" s="23" t="b">
        <f t="shared" si="6"/>
        <v>0</v>
      </c>
      <c r="AE53" s="23" t="b">
        <f t="shared" si="7"/>
        <v>0</v>
      </c>
      <c r="AF53" s="23" t="b">
        <f t="shared" si="8"/>
        <v>0</v>
      </c>
      <c r="AG53" s="23" t="b">
        <f t="shared" si="9"/>
        <v>0</v>
      </c>
      <c r="AH53" s="23" t="b">
        <f t="shared" si="10"/>
        <v>0</v>
      </c>
      <c r="AI53" s="23" t="b">
        <f t="shared" si="11"/>
        <v>0</v>
      </c>
      <c r="AJ53" s="23" t="b">
        <v>0</v>
      </c>
      <c r="AK53" s="23" t="b">
        <f t="shared" si="12"/>
        <v>0</v>
      </c>
      <c r="AL53" s="23" t="b">
        <f t="shared" si="13"/>
        <v>0</v>
      </c>
      <c r="AM53" s="23" t="b">
        <f t="shared" si="14"/>
        <v>0</v>
      </c>
      <c r="AN53" s="23" t="b">
        <f t="shared" si="15"/>
        <v>0</v>
      </c>
      <c r="AO53" s="23" t="b">
        <f t="shared" si="16"/>
        <v>0</v>
      </c>
      <c r="AP53" s="23" t="b">
        <f t="shared" si="17"/>
        <v>0</v>
      </c>
      <c r="AQ53" s="23" t="b">
        <f t="shared" si="18"/>
        <v>0</v>
      </c>
      <c r="AR53" s="23" t="b">
        <f t="shared" si="19"/>
        <v>0</v>
      </c>
      <c r="AS53" s="23" t="b">
        <v>0</v>
      </c>
      <c r="AT53" s="23" t="b">
        <f t="shared" si="20"/>
        <v>0</v>
      </c>
      <c r="AU53" s="23" t="b">
        <f t="shared" si="21"/>
        <v>0</v>
      </c>
      <c r="AV53" s="23" t="b">
        <f t="shared" si="22"/>
        <v>0</v>
      </c>
      <c r="AW53" s="23" t="b">
        <f t="shared" si="23"/>
        <v>0</v>
      </c>
      <c r="AX53" s="23" t="s">
        <v>278</v>
      </c>
      <c r="AY53" s="23" t="b">
        <v>1</v>
      </c>
      <c r="AZ53" s="23" t="s">
        <v>105</v>
      </c>
    </row>
    <row r="54" spans="1:52" x14ac:dyDescent="0.2">
      <c r="A54" s="23">
        <v>101</v>
      </c>
      <c r="B54" s="23" t="s">
        <v>354</v>
      </c>
      <c r="C54" s="23" t="s">
        <v>359</v>
      </c>
      <c r="D54" s="23" t="b">
        <v>1</v>
      </c>
      <c r="E54" s="23" t="s">
        <v>360</v>
      </c>
      <c r="F54" s="23" t="s">
        <v>361</v>
      </c>
      <c r="G54" s="23" t="s">
        <v>92</v>
      </c>
      <c r="H54" s="23" t="s">
        <v>362</v>
      </c>
      <c r="J54" s="23" t="s">
        <v>363</v>
      </c>
      <c r="K54" s="23" t="s">
        <v>364</v>
      </c>
      <c r="L54" s="23" t="s">
        <v>365</v>
      </c>
      <c r="P54" s="23">
        <v>2017</v>
      </c>
      <c r="Q54" s="23">
        <v>2020</v>
      </c>
      <c r="R54" s="23" t="s">
        <v>366</v>
      </c>
      <c r="S54" s="23" t="s">
        <v>367</v>
      </c>
      <c r="T54" s="23" t="s">
        <v>368</v>
      </c>
      <c r="U54" s="23" t="s">
        <v>369</v>
      </c>
      <c r="V54" s="23" t="s">
        <v>370</v>
      </c>
      <c r="W54" s="23" t="s">
        <v>103</v>
      </c>
      <c r="X54" s="23" t="s">
        <v>104</v>
      </c>
      <c r="Y54" s="23" t="b">
        <f t="shared" si="1"/>
        <v>0</v>
      </c>
      <c r="Z54" s="23" t="b">
        <f t="shared" si="2"/>
        <v>0</v>
      </c>
      <c r="AA54" s="23" t="b">
        <f t="shared" si="3"/>
        <v>0</v>
      </c>
      <c r="AB54" s="23" t="b">
        <f t="shared" si="4"/>
        <v>0</v>
      </c>
      <c r="AC54" s="23" t="b">
        <f t="shared" si="5"/>
        <v>0</v>
      </c>
      <c r="AD54" s="23" t="b">
        <f t="shared" si="6"/>
        <v>0</v>
      </c>
      <c r="AE54" s="23" t="b">
        <f t="shared" si="7"/>
        <v>0</v>
      </c>
      <c r="AF54" s="23" t="b">
        <f t="shared" si="8"/>
        <v>0</v>
      </c>
      <c r="AG54" s="23" t="b">
        <f t="shared" si="9"/>
        <v>0</v>
      </c>
      <c r="AH54" s="23" t="b">
        <f t="shared" si="10"/>
        <v>0</v>
      </c>
      <c r="AI54" s="23" t="b">
        <f t="shared" si="11"/>
        <v>0</v>
      </c>
      <c r="AJ54" s="23" t="b">
        <v>1</v>
      </c>
      <c r="AK54" s="23" t="b">
        <f t="shared" si="12"/>
        <v>0</v>
      </c>
      <c r="AL54" s="23" t="b">
        <f t="shared" si="13"/>
        <v>0</v>
      </c>
      <c r="AM54" s="23" t="b">
        <f t="shared" si="14"/>
        <v>0</v>
      </c>
      <c r="AN54" s="23" t="b">
        <f t="shared" si="15"/>
        <v>0</v>
      </c>
      <c r="AO54" s="23" t="b">
        <f t="shared" si="16"/>
        <v>0</v>
      </c>
      <c r="AP54" s="23" t="b">
        <f t="shared" si="17"/>
        <v>0</v>
      </c>
      <c r="AQ54" s="23" t="b">
        <f t="shared" si="18"/>
        <v>0</v>
      </c>
      <c r="AR54" s="23" t="b">
        <f t="shared" si="19"/>
        <v>0</v>
      </c>
      <c r="AS54" s="23" t="b">
        <v>0</v>
      </c>
      <c r="AT54" s="23" t="b">
        <f t="shared" si="20"/>
        <v>1</v>
      </c>
      <c r="AU54" s="23" t="b">
        <f t="shared" si="21"/>
        <v>0</v>
      </c>
      <c r="AV54" s="23" t="b">
        <f t="shared" si="22"/>
        <v>0</v>
      </c>
      <c r="AW54" s="23" t="b">
        <f t="shared" si="23"/>
        <v>0</v>
      </c>
      <c r="AX54" s="23" t="s">
        <v>278</v>
      </c>
      <c r="AY54" s="23" t="b">
        <v>1</v>
      </c>
      <c r="AZ54" s="23" t="s">
        <v>367</v>
      </c>
    </row>
    <row r="55" spans="1:52" x14ac:dyDescent="0.2">
      <c r="A55" s="23">
        <v>102</v>
      </c>
      <c r="B55" s="23" t="s">
        <v>354</v>
      </c>
      <c r="C55" s="23" t="s">
        <v>371</v>
      </c>
      <c r="D55" s="23" t="b">
        <v>1</v>
      </c>
      <c r="E55" s="23" t="s">
        <v>372</v>
      </c>
      <c r="F55" s="23" t="s">
        <v>373</v>
      </c>
      <c r="G55" s="23" t="s">
        <v>92</v>
      </c>
      <c r="H55" s="23" t="s">
        <v>362</v>
      </c>
      <c r="J55" s="23" t="s">
        <v>363</v>
      </c>
      <c r="K55" s="23" t="s">
        <v>374</v>
      </c>
      <c r="L55" s="23" t="s">
        <v>365</v>
      </c>
      <c r="P55" s="24">
        <v>45292</v>
      </c>
      <c r="Q55" s="23">
        <v>2024</v>
      </c>
      <c r="R55" s="23" t="s">
        <v>132</v>
      </c>
      <c r="S55" s="23" t="s">
        <v>375</v>
      </c>
      <c r="T55" s="23" t="s">
        <v>207</v>
      </c>
      <c r="U55" s="23" t="s">
        <v>376</v>
      </c>
      <c r="V55" s="23" t="s">
        <v>370</v>
      </c>
      <c r="W55" s="23" t="s">
        <v>103</v>
      </c>
      <c r="X55" s="23" t="s">
        <v>104</v>
      </c>
      <c r="Y55" s="23" t="b">
        <f t="shared" si="1"/>
        <v>0</v>
      </c>
      <c r="Z55" s="23" t="b">
        <f t="shared" si="2"/>
        <v>0</v>
      </c>
      <c r="AA55" s="23" t="b">
        <f t="shared" si="3"/>
        <v>0</v>
      </c>
      <c r="AB55" s="23" t="b">
        <f t="shared" si="4"/>
        <v>0</v>
      </c>
      <c r="AC55" s="23" t="b">
        <f t="shared" si="5"/>
        <v>0</v>
      </c>
      <c r="AD55" s="23" t="b">
        <f t="shared" si="6"/>
        <v>0</v>
      </c>
      <c r="AE55" s="23" t="b">
        <f t="shared" si="7"/>
        <v>0</v>
      </c>
      <c r="AF55" s="23" t="b">
        <f t="shared" si="8"/>
        <v>0</v>
      </c>
      <c r="AG55" s="23" t="b">
        <f t="shared" si="9"/>
        <v>0</v>
      </c>
      <c r="AH55" s="23" t="b">
        <f t="shared" si="10"/>
        <v>0</v>
      </c>
      <c r="AI55" s="23" t="b">
        <f t="shared" si="11"/>
        <v>0</v>
      </c>
      <c r="AJ55" s="23" t="b">
        <v>1</v>
      </c>
      <c r="AK55" s="23" t="b">
        <f t="shared" si="12"/>
        <v>0</v>
      </c>
      <c r="AL55" s="23" t="b">
        <f t="shared" si="13"/>
        <v>0</v>
      </c>
      <c r="AM55" s="23" t="b">
        <f t="shared" si="14"/>
        <v>0</v>
      </c>
      <c r="AN55" s="23" t="b">
        <f t="shared" si="15"/>
        <v>0</v>
      </c>
      <c r="AO55" s="23" t="b">
        <f t="shared" si="16"/>
        <v>0</v>
      </c>
      <c r="AP55" s="23" t="b">
        <f t="shared" si="17"/>
        <v>0</v>
      </c>
      <c r="AQ55" s="23" t="b">
        <f t="shared" si="18"/>
        <v>0</v>
      </c>
      <c r="AR55" s="23" t="b">
        <f t="shared" si="19"/>
        <v>0</v>
      </c>
      <c r="AS55" s="23" t="b">
        <v>0</v>
      </c>
      <c r="AT55" s="23" t="b">
        <f t="shared" si="20"/>
        <v>1</v>
      </c>
      <c r="AU55" s="23" t="b">
        <f t="shared" si="21"/>
        <v>0</v>
      </c>
      <c r="AV55" s="23" t="b">
        <f t="shared" si="22"/>
        <v>0</v>
      </c>
      <c r="AW55" s="23" t="b">
        <f t="shared" si="23"/>
        <v>0</v>
      </c>
      <c r="AX55" s="23" t="s">
        <v>132</v>
      </c>
      <c r="AY55" s="23" t="b">
        <v>0</v>
      </c>
      <c r="AZ55" s="23" t="s">
        <v>375</v>
      </c>
    </row>
    <row r="56" spans="1:52" x14ac:dyDescent="0.2">
      <c r="A56" s="23">
        <v>103</v>
      </c>
      <c r="B56" s="23" t="s">
        <v>354</v>
      </c>
      <c r="C56" s="23" t="s">
        <v>377</v>
      </c>
      <c r="D56" s="23" t="b">
        <v>1</v>
      </c>
      <c r="E56" s="23" t="s">
        <v>378</v>
      </c>
      <c r="F56" s="23" t="s">
        <v>379</v>
      </c>
      <c r="G56" s="23" t="s">
        <v>92</v>
      </c>
      <c r="H56" s="23" t="s">
        <v>380</v>
      </c>
      <c r="J56" s="23" t="s">
        <v>381</v>
      </c>
      <c r="K56" s="23" t="s">
        <v>382</v>
      </c>
      <c r="L56" s="23" t="s">
        <v>365</v>
      </c>
      <c r="P56" s="23">
        <v>2017</v>
      </c>
      <c r="Q56" s="23">
        <v>2023</v>
      </c>
      <c r="R56" s="23" t="s">
        <v>242</v>
      </c>
      <c r="S56" s="23" t="s">
        <v>383</v>
      </c>
      <c r="T56" s="23" t="s">
        <v>207</v>
      </c>
      <c r="U56" s="23" t="s">
        <v>384</v>
      </c>
      <c r="V56" s="23" t="s">
        <v>370</v>
      </c>
      <c r="W56" s="23" t="s">
        <v>103</v>
      </c>
      <c r="X56" s="23" t="s">
        <v>104</v>
      </c>
      <c r="Y56" s="23" t="b">
        <f t="shared" si="1"/>
        <v>0</v>
      </c>
      <c r="Z56" s="23" t="b">
        <f t="shared" si="2"/>
        <v>0</v>
      </c>
      <c r="AA56" s="23" t="b">
        <f t="shared" si="3"/>
        <v>0</v>
      </c>
      <c r="AB56" s="23" t="b">
        <f t="shared" si="4"/>
        <v>0</v>
      </c>
      <c r="AC56" s="23" t="b">
        <f t="shared" si="5"/>
        <v>0</v>
      </c>
      <c r="AD56" s="23" t="b">
        <f t="shared" si="6"/>
        <v>0</v>
      </c>
      <c r="AE56" s="23" t="b">
        <f t="shared" si="7"/>
        <v>0</v>
      </c>
      <c r="AF56" s="23" t="b">
        <f t="shared" si="8"/>
        <v>0</v>
      </c>
      <c r="AG56" s="23" t="b">
        <f t="shared" si="9"/>
        <v>0</v>
      </c>
      <c r="AH56" s="23" t="b">
        <f t="shared" si="10"/>
        <v>0</v>
      </c>
      <c r="AI56" s="23" t="b">
        <f t="shared" si="11"/>
        <v>0</v>
      </c>
      <c r="AJ56" s="23" t="b">
        <v>1</v>
      </c>
      <c r="AK56" s="23" t="b">
        <f t="shared" si="12"/>
        <v>0</v>
      </c>
      <c r="AL56" s="23" t="b">
        <f t="shared" si="13"/>
        <v>0</v>
      </c>
      <c r="AM56" s="23" t="b">
        <f t="shared" si="14"/>
        <v>0</v>
      </c>
      <c r="AN56" s="23" t="b">
        <f t="shared" si="15"/>
        <v>0</v>
      </c>
      <c r="AO56" s="23" t="b">
        <f t="shared" si="16"/>
        <v>0</v>
      </c>
      <c r="AP56" s="23" t="b">
        <f t="shared" si="17"/>
        <v>0</v>
      </c>
      <c r="AQ56" s="23" t="b">
        <f t="shared" si="18"/>
        <v>0</v>
      </c>
      <c r="AR56" s="23" t="b">
        <f t="shared" si="19"/>
        <v>0</v>
      </c>
      <c r="AS56" s="23" t="b">
        <v>0</v>
      </c>
      <c r="AT56" s="23" t="b">
        <f t="shared" si="20"/>
        <v>1</v>
      </c>
      <c r="AU56" s="23" t="b">
        <f t="shared" si="21"/>
        <v>0</v>
      </c>
      <c r="AV56" s="23" t="b">
        <f t="shared" si="22"/>
        <v>0</v>
      </c>
      <c r="AW56" s="23" t="b">
        <f t="shared" si="23"/>
        <v>0</v>
      </c>
      <c r="AX56" s="23" t="s">
        <v>242</v>
      </c>
      <c r="AY56" s="23" t="b">
        <v>1</v>
      </c>
      <c r="AZ56" s="23" t="s">
        <v>383</v>
      </c>
    </row>
    <row r="57" spans="1:52" x14ac:dyDescent="0.2">
      <c r="A57" s="23">
        <v>104</v>
      </c>
      <c r="B57" s="23" t="s">
        <v>354</v>
      </c>
      <c r="C57" s="23" t="s">
        <v>385</v>
      </c>
      <c r="D57" s="23" t="b">
        <v>1</v>
      </c>
      <c r="E57" s="23" t="s">
        <v>386</v>
      </c>
      <c r="F57" s="23" t="s">
        <v>387</v>
      </c>
      <c r="G57" s="23" t="s">
        <v>92</v>
      </c>
      <c r="H57" s="23" t="s">
        <v>388</v>
      </c>
      <c r="J57" s="23" t="s">
        <v>240</v>
      </c>
      <c r="K57" s="23" t="s">
        <v>389</v>
      </c>
      <c r="Q57" s="23">
        <v>2019</v>
      </c>
      <c r="R57" s="23" t="s">
        <v>242</v>
      </c>
      <c r="T57" s="23" t="s">
        <v>156</v>
      </c>
      <c r="U57" s="23" t="s">
        <v>111</v>
      </c>
      <c r="V57" s="23" t="s">
        <v>112</v>
      </c>
      <c r="W57" s="23" t="s">
        <v>103</v>
      </c>
      <c r="X57" s="23" t="s">
        <v>104</v>
      </c>
      <c r="Y57" s="23" t="b">
        <f t="shared" si="1"/>
        <v>0</v>
      </c>
      <c r="Z57" s="23" t="b">
        <f t="shared" si="2"/>
        <v>0</v>
      </c>
      <c r="AA57" s="23" t="b">
        <f t="shared" si="3"/>
        <v>0</v>
      </c>
      <c r="AB57" s="23" t="b">
        <f t="shared" si="4"/>
        <v>0</v>
      </c>
      <c r="AC57" s="23" t="b">
        <f t="shared" si="5"/>
        <v>0</v>
      </c>
      <c r="AD57" s="23" t="b">
        <f t="shared" si="6"/>
        <v>0</v>
      </c>
      <c r="AE57" s="23" t="b">
        <f t="shared" si="7"/>
        <v>0</v>
      </c>
      <c r="AF57" s="23" t="b">
        <f t="shared" si="8"/>
        <v>0</v>
      </c>
      <c r="AG57" s="23" t="b">
        <f t="shared" si="9"/>
        <v>0</v>
      </c>
      <c r="AH57" s="23" t="b">
        <f t="shared" si="10"/>
        <v>0</v>
      </c>
      <c r="AI57" s="23" t="b">
        <f t="shared" si="11"/>
        <v>0</v>
      </c>
      <c r="AJ57" s="23" t="b">
        <v>1</v>
      </c>
      <c r="AK57" s="23" t="b">
        <f t="shared" si="12"/>
        <v>0</v>
      </c>
      <c r="AL57" s="23" t="b">
        <f t="shared" si="13"/>
        <v>0</v>
      </c>
      <c r="AM57" s="23" t="b">
        <f t="shared" si="14"/>
        <v>0</v>
      </c>
      <c r="AN57" s="23" t="b">
        <f t="shared" si="15"/>
        <v>0</v>
      </c>
      <c r="AO57" s="23" t="b">
        <f t="shared" si="16"/>
        <v>0</v>
      </c>
      <c r="AP57" s="23" t="b">
        <f t="shared" si="17"/>
        <v>0</v>
      </c>
      <c r="AQ57" s="23" t="b">
        <f t="shared" si="18"/>
        <v>0</v>
      </c>
      <c r="AR57" s="23" t="b">
        <f t="shared" si="19"/>
        <v>0</v>
      </c>
      <c r="AS57" s="23" t="b">
        <v>1</v>
      </c>
      <c r="AT57" s="23" t="b">
        <f t="shared" si="20"/>
        <v>0</v>
      </c>
      <c r="AU57" s="23" t="b">
        <f t="shared" si="21"/>
        <v>0</v>
      </c>
      <c r="AV57" s="23" t="b">
        <f t="shared" si="22"/>
        <v>0</v>
      </c>
      <c r="AW57" s="23" t="b">
        <f t="shared" si="23"/>
        <v>0</v>
      </c>
      <c r="AX57" s="23" t="s">
        <v>242</v>
      </c>
      <c r="AY57" s="23" t="b">
        <v>1</v>
      </c>
      <c r="AZ57" s="23" t="s">
        <v>105</v>
      </c>
    </row>
    <row r="58" spans="1:52" x14ac:dyDescent="0.2">
      <c r="A58" s="23">
        <v>105</v>
      </c>
      <c r="B58" s="23" t="s">
        <v>354</v>
      </c>
      <c r="C58" s="23" t="s">
        <v>390</v>
      </c>
      <c r="D58" s="23" t="b">
        <v>1</v>
      </c>
      <c r="E58" s="23" t="s">
        <v>391</v>
      </c>
      <c r="F58" s="23" t="s">
        <v>392</v>
      </c>
      <c r="G58" s="23" t="s">
        <v>92</v>
      </c>
      <c r="H58" s="23" t="s">
        <v>93</v>
      </c>
      <c r="I58" s="23" t="s">
        <v>393</v>
      </c>
      <c r="J58" s="23" t="s">
        <v>95</v>
      </c>
      <c r="K58" s="23" t="s">
        <v>96</v>
      </c>
      <c r="L58" s="23" t="s">
        <v>365</v>
      </c>
      <c r="Q58" s="23">
        <v>2011</v>
      </c>
      <c r="R58" s="23" t="s">
        <v>132</v>
      </c>
      <c r="T58" s="23" t="s">
        <v>156</v>
      </c>
      <c r="U58" s="23" t="s">
        <v>111</v>
      </c>
      <c r="V58" s="23" t="s">
        <v>112</v>
      </c>
      <c r="W58" s="23" t="s">
        <v>103</v>
      </c>
      <c r="X58" s="23" t="s">
        <v>104</v>
      </c>
      <c r="Y58" s="23" t="b">
        <f t="shared" si="1"/>
        <v>0</v>
      </c>
      <c r="Z58" s="23" t="b">
        <f t="shared" si="2"/>
        <v>0</v>
      </c>
      <c r="AA58" s="23" t="b">
        <f t="shared" si="3"/>
        <v>0</v>
      </c>
      <c r="AB58" s="23" t="b">
        <f t="shared" si="4"/>
        <v>0</v>
      </c>
      <c r="AC58" s="23" t="b">
        <f t="shared" si="5"/>
        <v>0</v>
      </c>
      <c r="AD58" s="23" t="b">
        <f t="shared" si="6"/>
        <v>0</v>
      </c>
      <c r="AE58" s="23" t="b">
        <f t="shared" si="7"/>
        <v>0</v>
      </c>
      <c r="AF58" s="23" t="b">
        <f t="shared" si="8"/>
        <v>0</v>
      </c>
      <c r="AG58" s="23" t="b">
        <f t="shared" si="9"/>
        <v>0</v>
      </c>
      <c r="AH58" s="23" t="b">
        <f t="shared" si="10"/>
        <v>0</v>
      </c>
      <c r="AI58" s="23" t="b">
        <f t="shared" si="11"/>
        <v>0</v>
      </c>
      <c r="AJ58" s="23" t="b">
        <v>1</v>
      </c>
      <c r="AK58" s="23" t="b">
        <f t="shared" si="12"/>
        <v>0</v>
      </c>
      <c r="AL58" s="23" t="b">
        <f t="shared" si="13"/>
        <v>0</v>
      </c>
      <c r="AM58" s="23" t="b">
        <f t="shared" si="14"/>
        <v>0</v>
      </c>
      <c r="AN58" s="23" t="b">
        <f t="shared" si="15"/>
        <v>0</v>
      </c>
      <c r="AO58" s="23" t="b">
        <f t="shared" si="16"/>
        <v>0</v>
      </c>
      <c r="AP58" s="23" t="b">
        <f t="shared" si="17"/>
        <v>0</v>
      </c>
      <c r="AQ58" s="23" t="b">
        <f t="shared" si="18"/>
        <v>0</v>
      </c>
      <c r="AR58" s="23" t="b">
        <f t="shared" si="19"/>
        <v>0</v>
      </c>
      <c r="AS58" s="23" t="b">
        <v>0</v>
      </c>
      <c r="AT58" s="23" t="b">
        <f t="shared" si="20"/>
        <v>1</v>
      </c>
      <c r="AU58" s="23" t="b">
        <f t="shared" si="21"/>
        <v>0</v>
      </c>
      <c r="AV58" s="23" t="b">
        <f t="shared" si="22"/>
        <v>0</v>
      </c>
      <c r="AW58" s="23" t="b">
        <f t="shared" si="23"/>
        <v>0</v>
      </c>
      <c r="AX58" s="23" t="s">
        <v>132</v>
      </c>
      <c r="AY58" s="23" t="b">
        <v>0</v>
      </c>
      <c r="AZ58" s="23" t="s">
        <v>105</v>
      </c>
    </row>
    <row r="59" spans="1:52" x14ac:dyDescent="0.2">
      <c r="A59" s="23">
        <v>106</v>
      </c>
      <c r="B59" s="23" t="s">
        <v>354</v>
      </c>
      <c r="C59" s="23" t="s">
        <v>394</v>
      </c>
      <c r="D59" s="23" t="b">
        <v>1</v>
      </c>
      <c r="E59" s="23" t="s">
        <v>395</v>
      </c>
      <c r="F59" s="23" t="s">
        <v>396</v>
      </c>
      <c r="G59" s="23" t="s">
        <v>92</v>
      </c>
      <c r="H59" s="23" t="s">
        <v>194</v>
      </c>
      <c r="J59" s="23" t="s">
        <v>195</v>
      </c>
      <c r="K59" s="23" t="s">
        <v>397</v>
      </c>
      <c r="Q59" s="23">
        <v>2011</v>
      </c>
      <c r="R59" s="23" t="s">
        <v>119</v>
      </c>
      <c r="T59" s="23" t="s">
        <v>198</v>
      </c>
      <c r="U59" s="23" t="s">
        <v>199</v>
      </c>
      <c r="V59" s="23" t="s">
        <v>398</v>
      </c>
      <c r="W59" s="23" t="s">
        <v>103</v>
      </c>
      <c r="X59" s="23" t="s">
        <v>104</v>
      </c>
      <c r="Y59" s="23" t="b">
        <f t="shared" si="1"/>
        <v>0</v>
      </c>
      <c r="Z59" s="23" t="b">
        <f t="shared" si="2"/>
        <v>0</v>
      </c>
      <c r="AA59" s="23" t="b">
        <f t="shared" si="3"/>
        <v>0</v>
      </c>
      <c r="AB59" s="23" t="b">
        <f t="shared" si="4"/>
        <v>0</v>
      </c>
      <c r="AC59" s="23" t="b">
        <f t="shared" si="5"/>
        <v>0</v>
      </c>
      <c r="AD59" s="23" t="b">
        <f t="shared" si="6"/>
        <v>0</v>
      </c>
      <c r="AE59" s="23" t="b">
        <f t="shared" si="7"/>
        <v>0</v>
      </c>
      <c r="AF59" s="23" t="b">
        <f t="shared" si="8"/>
        <v>0</v>
      </c>
      <c r="AG59" s="23" t="b">
        <f t="shared" si="9"/>
        <v>0</v>
      </c>
      <c r="AH59" s="23" t="b">
        <f t="shared" si="10"/>
        <v>0</v>
      </c>
      <c r="AI59" s="23" t="b">
        <f t="shared" si="11"/>
        <v>0</v>
      </c>
      <c r="AJ59" s="23" t="b">
        <v>0</v>
      </c>
      <c r="AK59" s="23" t="b">
        <f t="shared" si="12"/>
        <v>0</v>
      </c>
      <c r="AL59" s="23" t="b">
        <f t="shared" si="13"/>
        <v>0</v>
      </c>
      <c r="AM59" s="23" t="b">
        <f t="shared" si="14"/>
        <v>0</v>
      </c>
      <c r="AN59" s="23" t="b">
        <f t="shared" si="15"/>
        <v>0</v>
      </c>
      <c r="AO59" s="23" t="b">
        <f t="shared" si="16"/>
        <v>0</v>
      </c>
      <c r="AP59" s="23" t="b">
        <f t="shared" si="17"/>
        <v>0</v>
      </c>
      <c r="AQ59" s="23" t="b">
        <f t="shared" si="18"/>
        <v>0</v>
      </c>
      <c r="AR59" s="23" t="b">
        <f t="shared" si="19"/>
        <v>0</v>
      </c>
      <c r="AS59" s="23" t="b">
        <v>0</v>
      </c>
      <c r="AT59" s="23" t="b">
        <f t="shared" si="20"/>
        <v>0</v>
      </c>
      <c r="AU59" s="23" t="b">
        <f t="shared" si="21"/>
        <v>0</v>
      </c>
      <c r="AV59" s="23" t="b">
        <f t="shared" si="22"/>
        <v>0</v>
      </c>
      <c r="AW59" s="23" t="b">
        <f t="shared" si="23"/>
        <v>0</v>
      </c>
      <c r="AX59" s="23" t="s">
        <v>99</v>
      </c>
      <c r="AY59" s="23" t="b">
        <v>0</v>
      </c>
      <c r="AZ59" s="23" t="s">
        <v>105</v>
      </c>
    </row>
    <row r="60" spans="1:52" x14ac:dyDescent="0.2">
      <c r="A60" s="23">
        <v>107</v>
      </c>
      <c r="B60" s="23" t="s">
        <v>399</v>
      </c>
      <c r="C60" s="23" t="s">
        <v>400</v>
      </c>
      <c r="D60" s="23" t="b">
        <v>1</v>
      </c>
      <c r="E60" s="23" t="s">
        <v>401</v>
      </c>
      <c r="F60" s="23" t="s">
        <v>402</v>
      </c>
      <c r="G60" s="23" t="s">
        <v>92</v>
      </c>
      <c r="H60" s="23" t="s">
        <v>116</v>
      </c>
      <c r="I60" s="23" t="s">
        <v>403</v>
      </c>
      <c r="J60" s="23" t="s">
        <v>95</v>
      </c>
      <c r="K60" s="23" t="s">
        <v>118</v>
      </c>
      <c r="L60" s="23" t="s">
        <v>404</v>
      </c>
      <c r="M60" s="23" t="s">
        <v>405</v>
      </c>
      <c r="Q60" s="23">
        <v>2018</v>
      </c>
      <c r="R60" s="23" t="s">
        <v>406</v>
      </c>
      <c r="T60" s="23" t="s">
        <v>156</v>
      </c>
      <c r="U60" s="23" t="s">
        <v>111</v>
      </c>
      <c r="V60" s="23" t="s">
        <v>112</v>
      </c>
      <c r="W60" s="23" t="s">
        <v>121</v>
      </c>
      <c r="X60" s="23" t="s">
        <v>104</v>
      </c>
      <c r="Y60" s="23" t="b">
        <f t="shared" si="1"/>
        <v>0</v>
      </c>
      <c r="Z60" s="23" t="b">
        <f t="shared" si="2"/>
        <v>0</v>
      </c>
      <c r="AA60" s="23" t="b">
        <f t="shared" si="3"/>
        <v>0</v>
      </c>
      <c r="AB60" s="23" t="b">
        <f t="shared" si="4"/>
        <v>0</v>
      </c>
      <c r="AC60" s="23" t="b">
        <f t="shared" si="5"/>
        <v>0</v>
      </c>
      <c r="AD60" s="23" t="b">
        <f t="shared" si="6"/>
        <v>0</v>
      </c>
      <c r="AE60" s="23" t="b">
        <f t="shared" si="7"/>
        <v>0</v>
      </c>
      <c r="AF60" s="23" t="b">
        <f t="shared" si="8"/>
        <v>0</v>
      </c>
      <c r="AG60" s="23" t="b">
        <f t="shared" si="9"/>
        <v>1</v>
      </c>
      <c r="AH60" s="23" t="b">
        <f t="shared" si="10"/>
        <v>0</v>
      </c>
      <c r="AI60" s="23" t="b">
        <f t="shared" si="11"/>
        <v>0</v>
      </c>
      <c r="AJ60" s="23" t="b">
        <v>0</v>
      </c>
      <c r="AK60" s="23" t="b">
        <f t="shared" si="12"/>
        <v>0</v>
      </c>
      <c r="AL60" s="23" t="b">
        <f t="shared" si="13"/>
        <v>0</v>
      </c>
      <c r="AM60" s="23" t="b">
        <f t="shared" si="14"/>
        <v>0</v>
      </c>
      <c r="AN60" s="23" t="b">
        <f t="shared" si="15"/>
        <v>0</v>
      </c>
      <c r="AO60" s="23" t="b">
        <f t="shared" si="16"/>
        <v>0</v>
      </c>
      <c r="AP60" s="23" t="b">
        <f t="shared" si="17"/>
        <v>0</v>
      </c>
      <c r="AQ60" s="23" t="b">
        <f t="shared" si="18"/>
        <v>0</v>
      </c>
      <c r="AR60" s="23" t="b">
        <f t="shared" si="19"/>
        <v>0</v>
      </c>
      <c r="AS60" s="23" t="b">
        <v>0</v>
      </c>
      <c r="AT60" s="23" t="b">
        <f t="shared" si="20"/>
        <v>0</v>
      </c>
      <c r="AU60" s="23" t="b">
        <f t="shared" si="21"/>
        <v>1</v>
      </c>
      <c r="AV60" s="23" t="b">
        <f t="shared" si="22"/>
        <v>0</v>
      </c>
      <c r="AW60" s="23" t="b">
        <f t="shared" si="23"/>
        <v>0</v>
      </c>
      <c r="AX60" s="23" t="s">
        <v>407</v>
      </c>
      <c r="AY60" s="23" t="b">
        <v>0</v>
      </c>
      <c r="AZ60" s="23" t="s">
        <v>105</v>
      </c>
    </row>
    <row r="61" spans="1:52" x14ac:dyDescent="0.2">
      <c r="A61" s="23">
        <v>108</v>
      </c>
      <c r="B61" s="23" t="s">
        <v>408</v>
      </c>
      <c r="C61" s="23" t="s">
        <v>409</v>
      </c>
      <c r="D61" s="23" t="b">
        <v>1</v>
      </c>
      <c r="E61" s="23" t="s">
        <v>410</v>
      </c>
      <c r="F61" s="23" t="s">
        <v>411</v>
      </c>
      <c r="G61" s="23" t="s">
        <v>92</v>
      </c>
      <c r="H61" s="23" t="s">
        <v>93</v>
      </c>
      <c r="I61" s="23" t="s">
        <v>412</v>
      </c>
      <c r="J61" s="23" t="s">
        <v>95</v>
      </c>
      <c r="K61" s="23" t="s">
        <v>96</v>
      </c>
      <c r="Q61" s="23">
        <v>2001</v>
      </c>
      <c r="R61" s="23" t="s">
        <v>413</v>
      </c>
      <c r="T61" s="23" t="s">
        <v>100</v>
      </c>
      <c r="U61" s="23" t="s">
        <v>101</v>
      </c>
      <c r="V61" s="23" t="s">
        <v>102</v>
      </c>
      <c r="W61" s="23" t="s">
        <v>103</v>
      </c>
      <c r="X61" s="23" t="s">
        <v>104</v>
      </c>
      <c r="Y61" s="23" t="b">
        <f t="shared" si="1"/>
        <v>0</v>
      </c>
      <c r="Z61" s="23" t="b">
        <f t="shared" si="2"/>
        <v>0</v>
      </c>
      <c r="AA61" s="23" t="b">
        <f t="shared" si="3"/>
        <v>0</v>
      </c>
      <c r="AB61" s="23" t="b">
        <f t="shared" si="4"/>
        <v>0</v>
      </c>
      <c r="AC61" s="23" t="b">
        <f t="shared" si="5"/>
        <v>0</v>
      </c>
      <c r="AD61" s="23" t="b">
        <f t="shared" si="6"/>
        <v>0</v>
      </c>
      <c r="AE61" s="23" t="b">
        <f t="shared" si="7"/>
        <v>0</v>
      </c>
      <c r="AF61" s="23" t="b">
        <f t="shared" si="8"/>
        <v>0</v>
      </c>
      <c r="AG61" s="23" t="b">
        <f t="shared" si="9"/>
        <v>0</v>
      </c>
      <c r="AH61" s="23" t="b">
        <f t="shared" si="10"/>
        <v>0</v>
      </c>
      <c r="AI61" s="23" t="b">
        <f t="shared" si="11"/>
        <v>0</v>
      </c>
      <c r="AJ61" s="23" t="b">
        <v>0</v>
      </c>
      <c r="AK61" s="23" t="b">
        <f t="shared" si="12"/>
        <v>0</v>
      </c>
      <c r="AL61" s="23" t="b">
        <f t="shared" si="13"/>
        <v>0</v>
      </c>
      <c r="AM61" s="23" t="b">
        <f t="shared" si="14"/>
        <v>0</v>
      </c>
      <c r="AN61" s="23" t="b">
        <f t="shared" si="15"/>
        <v>0</v>
      </c>
      <c r="AO61" s="23" t="b">
        <f t="shared" si="16"/>
        <v>0</v>
      </c>
      <c r="AP61" s="23" t="b">
        <f t="shared" si="17"/>
        <v>0</v>
      </c>
      <c r="AQ61" s="23" t="b">
        <f t="shared" si="18"/>
        <v>0</v>
      </c>
      <c r="AR61" s="23" t="b">
        <f t="shared" si="19"/>
        <v>0</v>
      </c>
      <c r="AS61" s="23" t="b">
        <v>0</v>
      </c>
      <c r="AT61" s="23" t="b">
        <f t="shared" si="20"/>
        <v>0</v>
      </c>
      <c r="AU61" s="23" t="b">
        <f t="shared" si="21"/>
        <v>0</v>
      </c>
      <c r="AV61" s="23" t="b">
        <f t="shared" si="22"/>
        <v>0</v>
      </c>
      <c r="AW61" s="23" t="b">
        <f t="shared" si="23"/>
        <v>0</v>
      </c>
      <c r="AX61" s="23" t="s">
        <v>132</v>
      </c>
      <c r="AY61" s="23" t="b">
        <v>0</v>
      </c>
      <c r="AZ61" s="23" t="s">
        <v>105</v>
      </c>
    </row>
    <row r="62" spans="1:52" x14ac:dyDescent="0.2">
      <c r="A62" s="23">
        <v>109</v>
      </c>
      <c r="B62" s="23" t="s">
        <v>408</v>
      </c>
      <c r="C62" s="23" t="s">
        <v>414</v>
      </c>
      <c r="D62" s="23" t="b">
        <v>1</v>
      </c>
      <c r="E62" s="23" t="s">
        <v>415</v>
      </c>
      <c r="F62" s="23" t="s">
        <v>416</v>
      </c>
      <c r="G62" s="23" t="s">
        <v>92</v>
      </c>
      <c r="H62" s="23" t="s">
        <v>417</v>
      </c>
      <c r="I62" s="23" t="s">
        <v>418</v>
      </c>
      <c r="J62" s="23" t="s">
        <v>95</v>
      </c>
      <c r="K62" s="23" t="s">
        <v>419</v>
      </c>
      <c r="Q62" s="23">
        <v>2009</v>
      </c>
      <c r="R62" s="23" t="s">
        <v>420</v>
      </c>
      <c r="T62" s="23" t="s">
        <v>156</v>
      </c>
      <c r="U62" s="23" t="s">
        <v>111</v>
      </c>
      <c r="V62" s="23" t="s">
        <v>112</v>
      </c>
      <c r="W62" s="23" t="s">
        <v>103</v>
      </c>
      <c r="X62" s="23" t="s">
        <v>104</v>
      </c>
      <c r="Y62" s="23" t="b">
        <f t="shared" si="1"/>
        <v>0</v>
      </c>
      <c r="Z62" s="23" t="b">
        <f t="shared" si="2"/>
        <v>0</v>
      </c>
      <c r="AA62" s="23" t="b">
        <f t="shared" si="3"/>
        <v>0</v>
      </c>
      <c r="AB62" s="23" t="b">
        <f t="shared" si="4"/>
        <v>0</v>
      </c>
      <c r="AC62" s="23" t="b">
        <f t="shared" si="5"/>
        <v>0</v>
      </c>
      <c r="AD62" s="23" t="b">
        <f t="shared" si="6"/>
        <v>0</v>
      </c>
      <c r="AE62" s="23" t="b">
        <f t="shared" si="7"/>
        <v>0</v>
      </c>
      <c r="AF62" s="23" t="b">
        <f t="shared" si="8"/>
        <v>0</v>
      </c>
      <c r="AG62" s="23" t="b">
        <f t="shared" si="9"/>
        <v>0</v>
      </c>
      <c r="AH62" s="23" t="b">
        <f t="shared" si="10"/>
        <v>0</v>
      </c>
      <c r="AI62" s="23" t="b">
        <f t="shared" si="11"/>
        <v>0</v>
      </c>
      <c r="AJ62" s="23" t="b">
        <v>0</v>
      </c>
      <c r="AK62" s="23" t="b">
        <f t="shared" si="12"/>
        <v>0</v>
      </c>
      <c r="AL62" s="23" t="b">
        <f t="shared" si="13"/>
        <v>0</v>
      </c>
      <c r="AM62" s="23" t="b">
        <f t="shared" si="14"/>
        <v>0</v>
      </c>
      <c r="AN62" s="23" t="b">
        <f t="shared" si="15"/>
        <v>0</v>
      </c>
      <c r="AO62" s="23" t="b">
        <f t="shared" si="16"/>
        <v>0</v>
      </c>
      <c r="AP62" s="23" t="b">
        <f t="shared" si="17"/>
        <v>0</v>
      </c>
      <c r="AQ62" s="23" t="b">
        <f t="shared" si="18"/>
        <v>0</v>
      </c>
      <c r="AR62" s="23" t="b">
        <f t="shared" si="19"/>
        <v>0</v>
      </c>
      <c r="AS62" s="23" t="b">
        <v>0</v>
      </c>
      <c r="AT62" s="23" t="b">
        <f t="shared" si="20"/>
        <v>0</v>
      </c>
      <c r="AU62" s="23" t="b">
        <f t="shared" si="21"/>
        <v>0</v>
      </c>
      <c r="AV62" s="23" t="b">
        <f t="shared" si="22"/>
        <v>0</v>
      </c>
      <c r="AW62" s="23" t="b">
        <f t="shared" si="23"/>
        <v>0</v>
      </c>
      <c r="AX62" s="23" t="s">
        <v>421</v>
      </c>
      <c r="AY62" s="23" t="b">
        <v>0</v>
      </c>
      <c r="AZ62" s="23" t="s">
        <v>105</v>
      </c>
    </row>
    <row r="63" spans="1:52" x14ac:dyDescent="0.2">
      <c r="A63" s="23">
        <v>110</v>
      </c>
      <c r="B63" s="23" t="s">
        <v>408</v>
      </c>
      <c r="C63" s="23" t="s">
        <v>422</v>
      </c>
      <c r="D63" s="23" t="b">
        <v>1</v>
      </c>
      <c r="E63" s="23" t="s">
        <v>423</v>
      </c>
      <c r="F63" s="23" t="s">
        <v>424</v>
      </c>
      <c r="G63" s="23" t="s">
        <v>92</v>
      </c>
      <c r="H63" s="23" t="s">
        <v>417</v>
      </c>
      <c r="I63" s="23" t="s">
        <v>425</v>
      </c>
      <c r="J63" s="23" t="s">
        <v>95</v>
      </c>
      <c r="K63" s="23" t="s">
        <v>426</v>
      </c>
      <c r="Q63" s="23">
        <v>2009</v>
      </c>
      <c r="R63" s="23" t="s">
        <v>420</v>
      </c>
      <c r="T63" s="23" t="s">
        <v>156</v>
      </c>
      <c r="U63" s="23" t="s">
        <v>111</v>
      </c>
      <c r="V63" s="23" t="s">
        <v>112</v>
      </c>
      <c r="W63" s="23" t="s">
        <v>103</v>
      </c>
      <c r="X63" s="23" t="s">
        <v>104</v>
      </c>
      <c r="Y63" s="23" t="b">
        <f t="shared" si="1"/>
        <v>0</v>
      </c>
      <c r="Z63" s="23" t="b">
        <f t="shared" si="2"/>
        <v>0</v>
      </c>
      <c r="AA63" s="23" t="b">
        <f t="shared" si="3"/>
        <v>0</v>
      </c>
      <c r="AB63" s="23" t="b">
        <f t="shared" si="4"/>
        <v>0</v>
      </c>
      <c r="AC63" s="23" t="b">
        <f t="shared" si="5"/>
        <v>0</v>
      </c>
      <c r="AD63" s="23" t="b">
        <f t="shared" si="6"/>
        <v>0</v>
      </c>
      <c r="AE63" s="23" t="b">
        <f t="shared" si="7"/>
        <v>0</v>
      </c>
      <c r="AF63" s="23" t="b">
        <f t="shared" si="8"/>
        <v>0</v>
      </c>
      <c r="AG63" s="23" t="b">
        <f t="shared" si="9"/>
        <v>0</v>
      </c>
      <c r="AH63" s="23" t="b">
        <f t="shared" si="10"/>
        <v>0</v>
      </c>
      <c r="AI63" s="23" t="b">
        <f t="shared" si="11"/>
        <v>0</v>
      </c>
      <c r="AJ63" s="23" t="b">
        <v>0</v>
      </c>
      <c r="AK63" s="23" t="b">
        <f t="shared" si="12"/>
        <v>0</v>
      </c>
      <c r="AL63" s="23" t="b">
        <f t="shared" si="13"/>
        <v>0</v>
      </c>
      <c r="AM63" s="23" t="b">
        <f t="shared" si="14"/>
        <v>0</v>
      </c>
      <c r="AN63" s="23" t="b">
        <f t="shared" si="15"/>
        <v>0</v>
      </c>
      <c r="AO63" s="23" t="b">
        <f t="shared" si="16"/>
        <v>0</v>
      </c>
      <c r="AP63" s="23" t="b">
        <f t="shared" si="17"/>
        <v>0</v>
      </c>
      <c r="AQ63" s="23" t="b">
        <f t="shared" si="18"/>
        <v>0</v>
      </c>
      <c r="AR63" s="23" t="b">
        <f t="shared" si="19"/>
        <v>0</v>
      </c>
      <c r="AS63" s="23" t="b">
        <v>0</v>
      </c>
      <c r="AT63" s="23" t="b">
        <f t="shared" si="20"/>
        <v>0</v>
      </c>
      <c r="AU63" s="23" t="b">
        <f t="shared" si="21"/>
        <v>0</v>
      </c>
      <c r="AV63" s="23" t="b">
        <f t="shared" si="22"/>
        <v>0</v>
      </c>
      <c r="AW63" s="23" t="b">
        <f t="shared" si="23"/>
        <v>0</v>
      </c>
      <c r="AX63" s="23" t="s">
        <v>421</v>
      </c>
      <c r="AY63" s="23" t="b">
        <v>0</v>
      </c>
      <c r="AZ63" s="23" t="s">
        <v>105</v>
      </c>
    </row>
    <row r="64" spans="1:52" x14ac:dyDescent="0.2">
      <c r="A64" s="23">
        <v>111</v>
      </c>
      <c r="B64" s="23" t="s">
        <v>408</v>
      </c>
      <c r="C64" s="23" t="s">
        <v>427</v>
      </c>
      <c r="D64" s="23" t="b">
        <v>1</v>
      </c>
      <c r="E64" s="23" t="s">
        <v>428</v>
      </c>
      <c r="F64" s="23" t="s">
        <v>429</v>
      </c>
      <c r="G64" s="23" t="s">
        <v>92</v>
      </c>
      <c r="H64" s="23" t="s">
        <v>417</v>
      </c>
      <c r="I64" s="23" t="s">
        <v>430</v>
      </c>
      <c r="J64" s="23" t="s">
        <v>95</v>
      </c>
      <c r="K64" s="23" t="s">
        <v>431</v>
      </c>
      <c r="Q64" s="23">
        <v>2009</v>
      </c>
      <c r="R64" s="23" t="s">
        <v>420</v>
      </c>
      <c r="T64" s="23" t="s">
        <v>156</v>
      </c>
      <c r="U64" s="23" t="s">
        <v>111</v>
      </c>
      <c r="V64" s="23" t="s">
        <v>112</v>
      </c>
      <c r="W64" s="23" t="s">
        <v>103</v>
      </c>
      <c r="X64" s="23" t="s">
        <v>104</v>
      </c>
      <c r="Y64" s="23" t="b">
        <f t="shared" si="1"/>
        <v>0</v>
      </c>
      <c r="Z64" s="23" t="b">
        <f t="shared" si="2"/>
        <v>0</v>
      </c>
      <c r="AA64" s="23" t="b">
        <f t="shared" si="3"/>
        <v>0</v>
      </c>
      <c r="AB64" s="23" t="b">
        <f t="shared" si="4"/>
        <v>0</v>
      </c>
      <c r="AC64" s="23" t="b">
        <f t="shared" si="5"/>
        <v>0</v>
      </c>
      <c r="AD64" s="23" t="b">
        <f t="shared" si="6"/>
        <v>0</v>
      </c>
      <c r="AE64" s="23" t="b">
        <f t="shared" si="7"/>
        <v>0</v>
      </c>
      <c r="AF64" s="23" t="b">
        <f t="shared" si="8"/>
        <v>0</v>
      </c>
      <c r="AG64" s="23" t="b">
        <f t="shared" si="9"/>
        <v>0</v>
      </c>
      <c r="AH64" s="23" t="b">
        <f t="shared" si="10"/>
        <v>0</v>
      </c>
      <c r="AI64" s="23" t="b">
        <f t="shared" si="11"/>
        <v>0</v>
      </c>
      <c r="AJ64" s="23" t="b">
        <v>0</v>
      </c>
      <c r="AK64" s="23" t="b">
        <f t="shared" si="12"/>
        <v>0</v>
      </c>
      <c r="AL64" s="23" t="b">
        <f t="shared" si="13"/>
        <v>0</v>
      </c>
      <c r="AM64" s="23" t="b">
        <f t="shared" si="14"/>
        <v>0</v>
      </c>
      <c r="AN64" s="23" t="b">
        <f t="shared" si="15"/>
        <v>0</v>
      </c>
      <c r="AO64" s="23" t="b">
        <f t="shared" si="16"/>
        <v>0</v>
      </c>
      <c r="AP64" s="23" t="b">
        <f t="shared" si="17"/>
        <v>0</v>
      </c>
      <c r="AQ64" s="23" t="b">
        <f t="shared" si="18"/>
        <v>0</v>
      </c>
      <c r="AR64" s="23" t="b">
        <f t="shared" si="19"/>
        <v>0</v>
      </c>
      <c r="AS64" s="23" t="b">
        <v>0</v>
      </c>
      <c r="AT64" s="23" t="b">
        <f t="shared" si="20"/>
        <v>0</v>
      </c>
      <c r="AU64" s="23" t="b">
        <f t="shared" si="21"/>
        <v>0</v>
      </c>
      <c r="AV64" s="23" t="b">
        <f t="shared" si="22"/>
        <v>0</v>
      </c>
      <c r="AW64" s="23" t="b">
        <f t="shared" si="23"/>
        <v>0</v>
      </c>
      <c r="AX64" s="23" t="s">
        <v>421</v>
      </c>
      <c r="AY64" s="23" t="b">
        <v>0</v>
      </c>
      <c r="AZ64" s="23" t="s">
        <v>105</v>
      </c>
    </row>
    <row r="65" spans="1:52" x14ac:dyDescent="0.2">
      <c r="A65" s="23">
        <v>112</v>
      </c>
      <c r="B65" s="23" t="s">
        <v>408</v>
      </c>
      <c r="C65" s="23" t="s">
        <v>432</v>
      </c>
      <c r="D65" s="23" t="b">
        <v>1</v>
      </c>
      <c r="E65" s="23" t="s">
        <v>433</v>
      </c>
      <c r="F65" s="23" t="s">
        <v>434</v>
      </c>
      <c r="G65" s="23" t="s">
        <v>92</v>
      </c>
      <c r="H65" s="23" t="s">
        <v>417</v>
      </c>
      <c r="I65" s="23" t="s">
        <v>435</v>
      </c>
      <c r="J65" s="23" t="s">
        <v>95</v>
      </c>
      <c r="K65" s="23" t="s">
        <v>436</v>
      </c>
      <c r="Q65" s="23">
        <v>2025</v>
      </c>
      <c r="R65" s="23" t="s">
        <v>420</v>
      </c>
      <c r="T65" s="23" t="s">
        <v>156</v>
      </c>
      <c r="U65" s="23" t="s">
        <v>111</v>
      </c>
      <c r="V65" s="23" t="s">
        <v>112</v>
      </c>
      <c r="W65" s="23" t="s">
        <v>103</v>
      </c>
      <c r="X65" s="23" t="s">
        <v>104</v>
      </c>
      <c r="Y65" s="23" t="b">
        <f t="shared" si="1"/>
        <v>0</v>
      </c>
      <c r="Z65" s="23" t="b">
        <f t="shared" si="2"/>
        <v>0</v>
      </c>
      <c r="AA65" s="23" t="b">
        <f t="shared" si="3"/>
        <v>0</v>
      </c>
      <c r="AB65" s="23" t="b">
        <f t="shared" si="4"/>
        <v>0</v>
      </c>
      <c r="AC65" s="23" t="b">
        <f t="shared" si="5"/>
        <v>0</v>
      </c>
      <c r="AD65" s="23" t="b">
        <f t="shared" si="6"/>
        <v>0</v>
      </c>
      <c r="AE65" s="23" t="b">
        <f t="shared" si="7"/>
        <v>0</v>
      </c>
      <c r="AF65" s="23" t="b">
        <f t="shared" si="8"/>
        <v>0</v>
      </c>
      <c r="AG65" s="23" t="b">
        <f t="shared" si="9"/>
        <v>0</v>
      </c>
      <c r="AH65" s="23" t="b">
        <f t="shared" si="10"/>
        <v>0</v>
      </c>
      <c r="AI65" s="23" t="b">
        <f t="shared" si="11"/>
        <v>0</v>
      </c>
      <c r="AJ65" s="23" t="b">
        <v>1</v>
      </c>
      <c r="AK65" s="23" t="b">
        <f t="shared" si="12"/>
        <v>0</v>
      </c>
      <c r="AL65" s="23" t="b">
        <f t="shared" si="13"/>
        <v>0</v>
      </c>
      <c r="AM65" s="23" t="b">
        <f t="shared" si="14"/>
        <v>0</v>
      </c>
      <c r="AN65" s="23" t="b">
        <f t="shared" si="15"/>
        <v>0</v>
      </c>
      <c r="AO65" s="23" t="b">
        <f t="shared" si="16"/>
        <v>0</v>
      </c>
      <c r="AP65" s="23" t="b">
        <f t="shared" si="17"/>
        <v>0</v>
      </c>
      <c r="AQ65" s="23" t="b">
        <f t="shared" si="18"/>
        <v>0</v>
      </c>
      <c r="AR65" s="23" t="b">
        <f t="shared" si="19"/>
        <v>0</v>
      </c>
      <c r="AS65" s="23" t="b">
        <v>1</v>
      </c>
      <c r="AT65" s="23" t="b">
        <f t="shared" si="20"/>
        <v>0</v>
      </c>
      <c r="AU65" s="23" t="b">
        <f t="shared" si="21"/>
        <v>0</v>
      </c>
      <c r="AV65" s="23" t="b">
        <f t="shared" si="22"/>
        <v>0</v>
      </c>
      <c r="AW65" s="23" t="b">
        <f t="shared" si="23"/>
        <v>0</v>
      </c>
      <c r="AX65" s="23" t="s">
        <v>421</v>
      </c>
      <c r="AY65" s="23" t="b">
        <v>0</v>
      </c>
      <c r="AZ65" s="23" t="s">
        <v>105</v>
      </c>
    </row>
    <row r="66" spans="1:52" x14ac:dyDescent="0.2">
      <c r="A66" s="23">
        <v>113</v>
      </c>
      <c r="B66" s="23" t="s">
        <v>437</v>
      </c>
      <c r="C66" s="23" t="s">
        <v>438</v>
      </c>
      <c r="D66" s="23" t="b">
        <v>1</v>
      </c>
      <c r="E66" s="23" t="s">
        <v>439</v>
      </c>
      <c r="F66" s="23" t="s">
        <v>440</v>
      </c>
      <c r="G66" s="23" t="s">
        <v>92</v>
      </c>
      <c r="H66" s="23" t="s">
        <v>178</v>
      </c>
      <c r="I66" s="23" t="s">
        <v>441</v>
      </c>
      <c r="J66" s="23" t="s">
        <v>180</v>
      </c>
      <c r="K66" s="23" t="s">
        <v>442</v>
      </c>
      <c r="L66" s="23" t="s">
        <v>404</v>
      </c>
      <c r="M66" s="23" t="s">
        <v>443</v>
      </c>
      <c r="Q66" s="23">
        <v>2011</v>
      </c>
      <c r="R66" s="23" t="s">
        <v>132</v>
      </c>
      <c r="T66" s="23" t="s">
        <v>100</v>
      </c>
      <c r="U66" s="23" t="s">
        <v>101</v>
      </c>
      <c r="V66" s="23" t="s">
        <v>102</v>
      </c>
      <c r="W66" s="23" t="s">
        <v>103</v>
      </c>
      <c r="X66" s="23" t="s">
        <v>104</v>
      </c>
      <c r="Y66" s="23" t="b">
        <f t="shared" si="1"/>
        <v>0</v>
      </c>
      <c r="Z66" s="23" t="b">
        <f t="shared" si="2"/>
        <v>0</v>
      </c>
      <c r="AA66" s="23" t="b">
        <f t="shared" si="3"/>
        <v>0</v>
      </c>
      <c r="AB66" s="23" t="b">
        <f t="shared" si="4"/>
        <v>0</v>
      </c>
      <c r="AC66" s="23" t="b">
        <f t="shared" si="5"/>
        <v>0</v>
      </c>
      <c r="AD66" s="23" t="b">
        <f t="shared" si="6"/>
        <v>0</v>
      </c>
      <c r="AE66" s="23" t="b">
        <f t="shared" si="7"/>
        <v>1</v>
      </c>
      <c r="AF66" s="23" t="b">
        <f t="shared" si="8"/>
        <v>0</v>
      </c>
      <c r="AG66" s="23" t="b">
        <f t="shared" si="9"/>
        <v>0</v>
      </c>
      <c r="AH66" s="23" t="b">
        <f t="shared" si="10"/>
        <v>0</v>
      </c>
      <c r="AI66" s="23" t="b">
        <f t="shared" si="11"/>
        <v>0</v>
      </c>
      <c r="AJ66" s="23" t="b">
        <v>0</v>
      </c>
      <c r="AK66" s="23" t="b">
        <f t="shared" si="12"/>
        <v>0</v>
      </c>
      <c r="AL66" s="23" t="b">
        <f t="shared" si="13"/>
        <v>0</v>
      </c>
      <c r="AM66" s="23" t="b">
        <f t="shared" si="14"/>
        <v>0</v>
      </c>
      <c r="AN66" s="23" t="b">
        <f t="shared" si="15"/>
        <v>0</v>
      </c>
      <c r="AO66" s="23" t="b">
        <f t="shared" si="16"/>
        <v>0</v>
      </c>
      <c r="AP66" s="23" t="b">
        <f t="shared" si="17"/>
        <v>0</v>
      </c>
      <c r="AQ66" s="23" t="b">
        <f t="shared" si="18"/>
        <v>0</v>
      </c>
      <c r="AR66" s="23" t="b">
        <f t="shared" si="19"/>
        <v>0</v>
      </c>
      <c r="AS66" s="23" t="b">
        <v>0</v>
      </c>
      <c r="AT66" s="23" t="b">
        <f t="shared" si="20"/>
        <v>0</v>
      </c>
      <c r="AU66" s="23" t="b">
        <f t="shared" si="21"/>
        <v>1</v>
      </c>
      <c r="AV66" s="23" t="b">
        <f t="shared" si="22"/>
        <v>0</v>
      </c>
      <c r="AW66" s="23" t="b">
        <f t="shared" si="23"/>
        <v>0</v>
      </c>
      <c r="AX66" s="23" t="s">
        <v>132</v>
      </c>
      <c r="AY66" s="23" t="b">
        <v>0</v>
      </c>
      <c r="AZ66" s="23" t="s">
        <v>105</v>
      </c>
    </row>
    <row r="67" spans="1:52" x14ac:dyDescent="0.2">
      <c r="A67" s="23">
        <v>114</v>
      </c>
      <c r="B67" s="23" t="s">
        <v>437</v>
      </c>
      <c r="C67" s="23" t="s">
        <v>444</v>
      </c>
      <c r="D67" s="23" t="b">
        <v>1</v>
      </c>
      <c r="E67" s="23" t="s">
        <v>445</v>
      </c>
      <c r="F67" s="23" t="s">
        <v>446</v>
      </c>
      <c r="G67" s="23" t="s">
        <v>92</v>
      </c>
      <c r="H67" s="23" t="s">
        <v>178</v>
      </c>
      <c r="I67" s="23" t="s">
        <v>441</v>
      </c>
      <c r="J67" s="23" t="s">
        <v>180</v>
      </c>
      <c r="K67" s="23" t="s">
        <v>442</v>
      </c>
      <c r="L67" s="23" t="s">
        <v>365</v>
      </c>
      <c r="M67" s="23" t="s">
        <v>447</v>
      </c>
      <c r="Q67" s="23">
        <v>2011</v>
      </c>
      <c r="R67" s="23" t="s">
        <v>132</v>
      </c>
      <c r="T67" s="23" t="s">
        <v>100</v>
      </c>
      <c r="U67" s="23" t="s">
        <v>101</v>
      </c>
      <c r="V67" s="23" t="s">
        <v>102</v>
      </c>
      <c r="W67" s="23" t="s">
        <v>103</v>
      </c>
      <c r="X67" s="23" t="s">
        <v>104</v>
      </c>
      <c r="Y67" s="23" t="b">
        <f t="shared" ref="Y67:Y130" si="24">ISNUMBER(SEARCH("Public transport accessibility", $M67))</f>
        <v>0</v>
      </c>
      <c r="Z67" s="23" t="b">
        <f t="shared" ref="Z67:Z130" si="25">ISNUMBER(SEARCH("Coverage by cycling facilities", $M67))</f>
        <v>0</v>
      </c>
      <c r="AA67" s="23" t="b">
        <f t="shared" ref="AA67:AA130" si="26">ISNUMBER(SEARCH("Coverage of the drainage system", $M67))</f>
        <v>0</v>
      </c>
      <c r="AB67" s="23" t="b">
        <f t="shared" ref="AB67:AB130" si="27">ISNUMBER(SEARCH("Parking management", $M67))</f>
        <v>0</v>
      </c>
      <c r="AC67" s="23" t="b">
        <f t="shared" ref="AC67:AC130" si="28">ISNUMBER(SEARCH("Reduction of private vehicles", $M67))</f>
        <v>1</v>
      </c>
      <c r="AD67" s="23" t="b">
        <f t="shared" ref="AD67:AD130" si="29">ISNUMBER(SEARCH("Decline in accidents", $M67))</f>
        <v>0</v>
      </c>
      <c r="AE67" s="23" t="b">
        <f t="shared" ref="AE67:AE130" si="30">ISNUMBER(SEARCH("Walking and cycling", $M67))</f>
        <v>0</v>
      </c>
      <c r="AF67" s="23" t="b">
        <f t="shared" ref="AF67:AF130" si="31">ISNUMBER(SEARCH("Public transport ridershi", $M67))</f>
        <v>0</v>
      </c>
      <c r="AG67" s="23" t="b">
        <f t="shared" ref="AG67:AG130" si="32">ISNUMBER(SEARCH("Last-mile use of intermediate public transport", $M67))</f>
        <v>0</v>
      </c>
      <c r="AH67" s="23" t="b">
        <f t="shared" ref="AH67:AH130" si="33">ISNUMBER(SEARCH("Walkability", $M67))</f>
        <v>0</v>
      </c>
      <c r="AI67" s="23" t="b">
        <f t="shared" ref="AI67:AI130" si="34">ISNUMBER(SEARCH("Supply of public transport vehicles", $M67))</f>
        <v>0</v>
      </c>
      <c r="AJ67" s="23" t="b">
        <v>0</v>
      </c>
      <c r="AK67" s="23" t="b">
        <f t="shared" ref="AK67:AK130" si="35">ISNUMBER(SEARCH("Local traffic flow", $M67))</f>
        <v>0</v>
      </c>
      <c r="AL67" s="23" t="b">
        <f t="shared" ref="AL67:AL130" si="36">ISNUMBER(SEARCH("Organised road use", $M67))</f>
        <v>0</v>
      </c>
      <c r="AM67" s="23" t="b">
        <f t="shared" ref="AM67:AM130" si="37">ISNUMBER(SEARCH("Trained drivers", $M67))</f>
        <v>0</v>
      </c>
      <c r="AN67" s="23" t="b">
        <f t="shared" ref="AN67:AN130" si="38">ISNUMBER(SEARCH("Transport-related investment", $M67))</f>
        <v>0</v>
      </c>
      <c r="AO67" s="23" t="b">
        <f t="shared" ref="AO67:AO130" si="39">ISNUMBER(SEARCH("Motor vehicle traffic reduction", $M67))</f>
        <v>0</v>
      </c>
      <c r="AP67" s="23" t="b">
        <f t="shared" ref="AP67:AP130" si="40">ISNUMBER(SEARCH("public transport supply", $L67))</f>
        <v>0</v>
      </c>
      <c r="AQ67" s="23" t="b">
        <f t="shared" ref="AQ67:AQ130" si="41">ISNUMBER(SEARCH("safety and comfort", $L67))</f>
        <v>0</v>
      </c>
      <c r="AR67" s="23" t="b">
        <f t="shared" ref="AR67:AR130" si="42">ISNUMBER(SEARCH("effective enforcement", $L67))</f>
        <v>0</v>
      </c>
      <c r="AS67" s="23" t="b">
        <v>0</v>
      </c>
      <c r="AT67" s="23" t="b">
        <f t="shared" ref="AT67:AT130" si="43">ISNUMBER(SEARCH("sustainable mobility", $L67))</f>
        <v>1</v>
      </c>
      <c r="AU67" s="23" t="b">
        <f t="shared" ref="AU67:AU130" si="44">ISNUMBER(SEARCH("inclusive mobility", $L67))</f>
        <v>0</v>
      </c>
      <c r="AV67" s="23" t="b">
        <f t="shared" ref="AV67:AV130" si="45">ISNUMBER(SEARCH("health and safety", $L67))</f>
        <v>0</v>
      </c>
      <c r="AW67" s="23" t="b">
        <f t="shared" ref="AW67:AW130" si="46">ISNUMBER(SEARCH("sustainable transport funding", $L67))</f>
        <v>0</v>
      </c>
      <c r="AX67" s="23" t="s">
        <v>132</v>
      </c>
      <c r="AY67" s="23" t="b">
        <v>0</v>
      </c>
      <c r="AZ67" s="23" t="s">
        <v>105</v>
      </c>
    </row>
    <row r="68" spans="1:52" x14ac:dyDescent="0.2">
      <c r="A68" s="23">
        <v>115</v>
      </c>
      <c r="B68" s="23" t="s">
        <v>437</v>
      </c>
      <c r="C68" s="23" t="s">
        <v>448</v>
      </c>
      <c r="D68" s="23" t="b">
        <v>1</v>
      </c>
      <c r="E68" s="23" t="s">
        <v>449</v>
      </c>
      <c r="F68" s="23" t="s">
        <v>450</v>
      </c>
      <c r="G68" s="23" t="s">
        <v>92</v>
      </c>
      <c r="H68" s="23" t="s">
        <v>178</v>
      </c>
      <c r="I68" s="23" t="s">
        <v>441</v>
      </c>
      <c r="J68" s="23" t="s">
        <v>180</v>
      </c>
      <c r="K68" s="23" t="s">
        <v>442</v>
      </c>
      <c r="L68" s="23" t="s">
        <v>365</v>
      </c>
      <c r="M68" s="23" t="s">
        <v>447</v>
      </c>
      <c r="Q68" s="23">
        <v>2011</v>
      </c>
      <c r="R68" s="23" t="s">
        <v>132</v>
      </c>
      <c r="T68" s="23" t="s">
        <v>100</v>
      </c>
      <c r="U68" s="23" t="s">
        <v>101</v>
      </c>
      <c r="V68" s="23" t="s">
        <v>102</v>
      </c>
      <c r="W68" s="23" t="s">
        <v>103</v>
      </c>
      <c r="X68" s="23" t="s">
        <v>104</v>
      </c>
      <c r="Y68" s="23" t="b">
        <f t="shared" si="24"/>
        <v>0</v>
      </c>
      <c r="Z68" s="23" t="b">
        <f t="shared" si="25"/>
        <v>0</v>
      </c>
      <c r="AA68" s="23" t="b">
        <f t="shared" si="26"/>
        <v>0</v>
      </c>
      <c r="AB68" s="23" t="b">
        <f t="shared" si="27"/>
        <v>0</v>
      </c>
      <c r="AC68" s="23" t="b">
        <f t="shared" si="28"/>
        <v>1</v>
      </c>
      <c r="AD68" s="23" t="b">
        <f t="shared" si="29"/>
        <v>0</v>
      </c>
      <c r="AE68" s="23" t="b">
        <f t="shared" si="30"/>
        <v>0</v>
      </c>
      <c r="AF68" s="23" t="b">
        <f t="shared" si="31"/>
        <v>0</v>
      </c>
      <c r="AG68" s="23" t="b">
        <f t="shared" si="32"/>
        <v>0</v>
      </c>
      <c r="AH68" s="23" t="b">
        <f t="shared" si="33"/>
        <v>0</v>
      </c>
      <c r="AI68" s="23" t="b">
        <f t="shared" si="34"/>
        <v>0</v>
      </c>
      <c r="AJ68" s="23" t="b">
        <v>0</v>
      </c>
      <c r="AK68" s="23" t="b">
        <f t="shared" si="35"/>
        <v>0</v>
      </c>
      <c r="AL68" s="23" t="b">
        <f t="shared" si="36"/>
        <v>0</v>
      </c>
      <c r="AM68" s="23" t="b">
        <f t="shared" si="37"/>
        <v>0</v>
      </c>
      <c r="AN68" s="23" t="b">
        <f t="shared" si="38"/>
        <v>0</v>
      </c>
      <c r="AO68" s="23" t="b">
        <f t="shared" si="39"/>
        <v>0</v>
      </c>
      <c r="AP68" s="23" t="b">
        <f t="shared" si="40"/>
        <v>0</v>
      </c>
      <c r="AQ68" s="23" t="b">
        <f t="shared" si="41"/>
        <v>0</v>
      </c>
      <c r="AR68" s="23" t="b">
        <f t="shared" si="42"/>
        <v>0</v>
      </c>
      <c r="AS68" s="23" t="b">
        <v>0</v>
      </c>
      <c r="AT68" s="23" t="b">
        <f t="shared" si="43"/>
        <v>1</v>
      </c>
      <c r="AU68" s="23" t="b">
        <f t="shared" si="44"/>
        <v>0</v>
      </c>
      <c r="AV68" s="23" t="b">
        <f t="shared" si="45"/>
        <v>0</v>
      </c>
      <c r="AW68" s="23" t="b">
        <f t="shared" si="46"/>
        <v>0</v>
      </c>
      <c r="AX68" s="23" t="s">
        <v>132</v>
      </c>
      <c r="AY68" s="23" t="b">
        <v>0</v>
      </c>
      <c r="AZ68" s="23" t="s">
        <v>105</v>
      </c>
    </row>
    <row r="69" spans="1:52" x14ac:dyDescent="0.2">
      <c r="A69" s="23">
        <v>116</v>
      </c>
      <c r="B69" s="23" t="s">
        <v>437</v>
      </c>
      <c r="C69" s="23" t="s">
        <v>451</v>
      </c>
      <c r="D69" s="23" t="b">
        <v>1</v>
      </c>
      <c r="E69" s="23" t="s">
        <v>452</v>
      </c>
      <c r="F69" s="23" t="s">
        <v>453</v>
      </c>
      <c r="G69" s="23" t="s">
        <v>92</v>
      </c>
      <c r="H69" s="23" t="s">
        <v>388</v>
      </c>
      <c r="J69" s="23" t="s">
        <v>240</v>
      </c>
      <c r="K69" s="23" t="s">
        <v>454</v>
      </c>
      <c r="L69" s="23" t="s">
        <v>365</v>
      </c>
      <c r="M69" s="23" t="s">
        <v>447</v>
      </c>
      <c r="P69" s="23">
        <v>2015</v>
      </c>
      <c r="Q69" s="23">
        <v>2018</v>
      </c>
      <c r="R69" s="23" t="s">
        <v>242</v>
      </c>
      <c r="T69" s="23" t="s">
        <v>243</v>
      </c>
      <c r="U69" s="23" t="s">
        <v>244</v>
      </c>
      <c r="V69" s="23" t="s">
        <v>223</v>
      </c>
      <c r="W69" s="23" t="s">
        <v>103</v>
      </c>
      <c r="X69" s="23" t="s">
        <v>104</v>
      </c>
      <c r="Y69" s="23" t="b">
        <f t="shared" si="24"/>
        <v>0</v>
      </c>
      <c r="Z69" s="23" t="b">
        <f t="shared" si="25"/>
        <v>0</v>
      </c>
      <c r="AA69" s="23" t="b">
        <f t="shared" si="26"/>
        <v>0</v>
      </c>
      <c r="AB69" s="23" t="b">
        <f t="shared" si="27"/>
        <v>0</v>
      </c>
      <c r="AC69" s="23" t="b">
        <f t="shared" si="28"/>
        <v>1</v>
      </c>
      <c r="AD69" s="23" t="b">
        <f t="shared" si="29"/>
        <v>0</v>
      </c>
      <c r="AE69" s="23" t="b">
        <f t="shared" si="30"/>
        <v>0</v>
      </c>
      <c r="AF69" s="23" t="b">
        <f t="shared" si="31"/>
        <v>0</v>
      </c>
      <c r="AG69" s="23" t="b">
        <f t="shared" si="32"/>
        <v>0</v>
      </c>
      <c r="AH69" s="23" t="b">
        <f t="shared" si="33"/>
        <v>0</v>
      </c>
      <c r="AI69" s="23" t="b">
        <f t="shared" si="34"/>
        <v>0</v>
      </c>
      <c r="AJ69" s="23" t="b">
        <v>0</v>
      </c>
      <c r="AK69" s="23" t="b">
        <f t="shared" si="35"/>
        <v>0</v>
      </c>
      <c r="AL69" s="23" t="b">
        <f t="shared" si="36"/>
        <v>0</v>
      </c>
      <c r="AM69" s="23" t="b">
        <f t="shared" si="37"/>
        <v>0</v>
      </c>
      <c r="AN69" s="23" t="b">
        <f t="shared" si="38"/>
        <v>0</v>
      </c>
      <c r="AO69" s="23" t="b">
        <f t="shared" si="39"/>
        <v>0</v>
      </c>
      <c r="AP69" s="23" t="b">
        <f t="shared" si="40"/>
        <v>0</v>
      </c>
      <c r="AQ69" s="23" t="b">
        <f t="shared" si="41"/>
        <v>0</v>
      </c>
      <c r="AR69" s="23" t="b">
        <f t="shared" si="42"/>
        <v>0</v>
      </c>
      <c r="AS69" s="23" t="b">
        <v>0</v>
      </c>
      <c r="AT69" s="23" t="b">
        <f t="shared" si="43"/>
        <v>1</v>
      </c>
      <c r="AU69" s="23" t="b">
        <f t="shared" si="44"/>
        <v>0</v>
      </c>
      <c r="AV69" s="23" t="b">
        <f t="shared" si="45"/>
        <v>0</v>
      </c>
      <c r="AW69" s="23" t="b">
        <f t="shared" si="46"/>
        <v>0</v>
      </c>
      <c r="AX69" s="23" t="s">
        <v>242</v>
      </c>
      <c r="AY69" s="23" t="b">
        <v>1</v>
      </c>
      <c r="AZ69" s="23" t="s">
        <v>105</v>
      </c>
    </row>
    <row r="70" spans="1:52" x14ac:dyDescent="0.2">
      <c r="A70" s="23">
        <v>117</v>
      </c>
      <c r="B70" s="23" t="s">
        <v>437</v>
      </c>
      <c r="C70" s="23" t="s">
        <v>455</v>
      </c>
      <c r="D70" s="23" t="b">
        <v>1</v>
      </c>
      <c r="E70" s="23" t="s">
        <v>456</v>
      </c>
      <c r="F70" s="23" t="s">
        <v>457</v>
      </c>
      <c r="G70" s="23" t="s">
        <v>92</v>
      </c>
      <c r="H70" s="23" t="s">
        <v>116</v>
      </c>
      <c r="I70" s="23" t="s">
        <v>458</v>
      </c>
      <c r="J70" s="23" t="s">
        <v>95</v>
      </c>
      <c r="K70" s="23" t="s">
        <v>118</v>
      </c>
      <c r="L70" s="23" t="s">
        <v>365</v>
      </c>
      <c r="M70" s="23" t="s">
        <v>447</v>
      </c>
      <c r="Q70" s="23">
        <v>2018</v>
      </c>
      <c r="R70" s="23" t="s">
        <v>406</v>
      </c>
      <c r="T70" s="23" t="s">
        <v>243</v>
      </c>
      <c r="U70" s="23" t="s">
        <v>244</v>
      </c>
      <c r="V70" s="23" t="s">
        <v>223</v>
      </c>
      <c r="W70" s="23" t="s">
        <v>121</v>
      </c>
      <c r="X70" s="23" t="s">
        <v>104</v>
      </c>
      <c r="Y70" s="23" t="b">
        <f t="shared" si="24"/>
        <v>0</v>
      </c>
      <c r="Z70" s="23" t="b">
        <f t="shared" si="25"/>
        <v>0</v>
      </c>
      <c r="AA70" s="23" t="b">
        <f t="shared" si="26"/>
        <v>0</v>
      </c>
      <c r="AB70" s="23" t="b">
        <f t="shared" si="27"/>
        <v>0</v>
      </c>
      <c r="AC70" s="23" t="b">
        <f t="shared" si="28"/>
        <v>1</v>
      </c>
      <c r="AD70" s="23" t="b">
        <f t="shared" si="29"/>
        <v>0</v>
      </c>
      <c r="AE70" s="23" t="b">
        <f t="shared" si="30"/>
        <v>0</v>
      </c>
      <c r="AF70" s="23" t="b">
        <f t="shared" si="31"/>
        <v>0</v>
      </c>
      <c r="AG70" s="23" t="b">
        <f t="shared" si="32"/>
        <v>0</v>
      </c>
      <c r="AH70" s="23" t="b">
        <f t="shared" si="33"/>
        <v>0</v>
      </c>
      <c r="AI70" s="23" t="b">
        <f t="shared" si="34"/>
        <v>0</v>
      </c>
      <c r="AJ70" s="23" t="b">
        <v>0</v>
      </c>
      <c r="AK70" s="23" t="b">
        <f t="shared" si="35"/>
        <v>0</v>
      </c>
      <c r="AL70" s="23" t="b">
        <f t="shared" si="36"/>
        <v>0</v>
      </c>
      <c r="AM70" s="23" t="b">
        <f t="shared" si="37"/>
        <v>0</v>
      </c>
      <c r="AN70" s="23" t="b">
        <f t="shared" si="38"/>
        <v>0</v>
      </c>
      <c r="AO70" s="23" t="b">
        <f t="shared" si="39"/>
        <v>0</v>
      </c>
      <c r="AP70" s="23" t="b">
        <f t="shared" si="40"/>
        <v>0</v>
      </c>
      <c r="AQ70" s="23" t="b">
        <f t="shared" si="41"/>
        <v>0</v>
      </c>
      <c r="AR70" s="23" t="b">
        <f t="shared" si="42"/>
        <v>0</v>
      </c>
      <c r="AS70" s="23" t="b">
        <v>0</v>
      </c>
      <c r="AT70" s="23" t="b">
        <f t="shared" si="43"/>
        <v>1</v>
      </c>
      <c r="AU70" s="23" t="b">
        <f t="shared" si="44"/>
        <v>0</v>
      </c>
      <c r="AV70" s="23" t="b">
        <f t="shared" si="45"/>
        <v>0</v>
      </c>
      <c r="AW70" s="23" t="b">
        <f t="shared" si="46"/>
        <v>0</v>
      </c>
      <c r="AX70" s="23" t="s">
        <v>407</v>
      </c>
      <c r="AY70" s="23" t="b">
        <v>0</v>
      </c>
      <c r="AZ70" s="23" t="s">
        <v>105</v>
      </c>
    </row>
    <row r="71" spans="1:52" x14ac:dyDescent="0.2">
      <c r="A71" s="23">
        <v>118</v>
      </c>
      <c r="B71" s="23" t="s">
        <v>437</v>
      </c>
      <c r="C71" s="23" t="s">
        <v>459</v>
      </c>
      <c r="D71" s="23" t="b">
        <v>1</v>
      </c>
      <c r="E71" s="23" t="s">
        <v>460</v>
      </c>
      <c r="F71" s="23" t="s">
        <v>461</v>
      </c>
      <c r="G71" s="23" t="s">
        <v>92</v>
      </c>
      <c r="H71" s="23" t="s">
        <v>462</v>
      </c>
      <c r="I71" s="23" t="s">
        <v>463</v>
      </c>
      <c r="J71" s="23" t="s">
        <v>464</v>
      </c>
      <c r="K71" s="23" t="s">
        <v>96</v>
      </c>
      <c r="L71" s="23" t="s">
        <v>365</v>
      </c>
      <c r="M71" s="23" t="s">
        <v>447</v>
      </c>
      <c r="P71" s="23">
        <v>1990</v>
      </c>
      <c r="Q71" s="23">
        <v>2007</v>
      </c>
      <c r="R71" s="23" t="s">
        <v>132</v>
      </c>
      <c r="T71" s="23" t="s">
        <v>100</v>
      </c>
      <c r="U71" s="23" t="s">
        <v>101</v>
      </c>
      <c r="V71" s="23" t="s">
        <v>102</v>
      </c>
      <c r="W71" s="23" t="s">
        <v>103</v>
      </c>
      <c r="X71" s="23" t="s">
        <v>104</v>
      </c>
      <c r="Y71" s="23" t="b">
        <f t="shared" si="24"/>
        <v>0</v>
      </c>
      <c r="Z71" s="23" t="b">
        <f t="shared" si="25"/>
        <v>0</v>
      </c>
      <c r="AA71" s="23" t="b">
        <f t="shared" si="26"/>
        <v>0</v>
      </c>
      <c r="AB71" s="23" t="b">
        <f t="shared" si="27"/>
        <v>0</v>
      </c>
      <c r="AC71" s="23" t="b">
        <f t="shared" si="28"/>
        <v>1</v>
      </c>
      <c r="AD71" s="23" t="b">
        <f t="shared" si="29"/>
        <v>0</v>
      </c>
      <c r="AE71" s="23" t="b">
        <f t="shared" si="30"/>
        <v>0</v>
      </c>
      <c r="AF71" s="23" t="b">
        <f t="shared" si="31"/>
        <v>0</v>
      </c>
      <c r="AG71" s="23" t="b">
        <f t="shared" si="32"/>
        <v>0</v>
      </c>
      <c r="AH71" s="23" t="b">
        <f t="shared" si="33"/>
        <v>0</v>
      </c>
      <c r="AI71" s="23" t="b">
        <f t="shared" si="34"/>
        <v>0</v>
      </c>
      <c r="AJ71" s="23" t="b">
        <v>0</v>
      </c>
      <c r="AK71" s="23" t="b">
        <f t="shared" si="35"/>
        <v>0</v>
      </c>
      <c r="AL71" s="23" t="b">
        <f t="shared" si="36"/>
        <v>0</v>
      </c>
      <c r="AM71" s="23" t="b">
        <f t="shared" si="37"/>
        <v>0</v>
      </c>
      <c r="AN71" s="23" t="b">
        <f t="shared" si="38"/>
        <v>0</v>
      </c>
      <c r="AO71" s="23" t="b">
        <f t="shared" si="39"/>
        <v>0</v>
      </c>
      <c r="AP71" s="23" t="b">
        <f t="shared" si="40"/>
        <v>0</v>
      </c>
      <c r="AQ71" s="23" t="b">
        <f t="shared" si="41"/>
        <v>0</v>
      </c>
      <c r="AR71" s="23" t="b">
        <f t="shared" si="42"/>
        <v>0</v>
      </c>
      <c r="AS71" s="23" t="b">
        <v>0</v>
      </c>
      <c r="AT71" s="23" t="b">
        <f t="shared" si="43"/>
        <v>1</v>
      </c>
      <c r="AU71" s="23" t="b">
        <f t="shared" si="44"/>
        <v>0</v>
      </c>
      <c r="AV71" s="23" t="b">
        <f t="shared" si="45"/>
        <v>0</v>
      </c>
      <c r="AW71" s="23" t="b">
        <f t="shared" si="46"/>
        <v>0</v>
      </c>
      <c r="AX71" s="23" t="s">
        <v>132</v>
      </c>
      <c r="AY71" s="23" t="b">
        <v>0</v>
      </c>
      <c r="AZ71" s="23" t="s">
        <v>105</v>
      </c>
    </row>
    <row r="72" spans="1:52" x14ac:dyDescent="0.2">
      <c r="A72" s="23">
        <v>119</v>
      </c>
      <c r="B72" s="23" t="s">
        <v>437</v>
      </c>
      <c r="C72" s="23" t="s">
        <v>465</v>
      </c>
      <c r="D72" s="23" t="b">
        <v>1</v>
      </c>
      <c r="E72" s="23" t="s">
        <v>466</v>
      </c>
      <c r="F72" s="23" t="s">
        <v>467</v>
      </c>
      <c r="G72" s="23" t="s">
        <v>92</v>
      </c>
      <c r="H72" s="23" t="s">
        <v>468</v>
      </c>
      <c r="I72" s="23" t="s">
        <v>469</v>
      </c>
      <c r="J72" s="23" t="s">
        <v>470</v>
      </c>
      <c r="K72" s="23" t="s">
        <v>471</v>
      </c>
      <c r="L72" s="23" t="s">
        <v>365</v>
      </c>
      <c r="M72" s="23" t="s">
        <v>447</v>
      </c>
      <c r="P72" s="23">
        <v>2010</v>
      </c>
      <c r="Q72" s="23">
        <v>2021</v>
      </c>
      <c r="R72" s="23" t="s">
        <v>132</v>
      </c>
      <c r="S72" s="23" t="s">
        <v>367</v>
      </c>
      <c r="T72" s="23" t="s">
        <v>100</v>
      </c>
      <c r="U72" s="23" t="s">
        <v>101</v>
      </c>
      <c r="V72" s="23" t="s">
        <v>102</v>
      </c>
      <c r="W72" s="23" t="s">
        <v>103</v>
      </c>
      <c r="X72" s="23" t="s">
        <v>104</v>
      </c>
      <c r="Y72" s="23" t="b">
        <f t="shared" si="24"/>
        <v>0</v>
      </c>
      <c r="Z72" s="23" t="b">
        <f t="shared" si="25"/>
        <v>0</v>
      </c>
      <c r="AA72" s="23" t="b">
        <f t="shared" si="26"/>
        <v>0</v>
      </c>
      <c r="AB72" s="23" t="b">
        <f t="shared" si="27"/>
        <v>0</v>
      </c>
      <c r="AC72" s="23" t="b">
        <f t="shared" si="28"/>
        <v>1</v>
      </c>
      <c r="AD72" s="23" t="b">
        <f t="shared" si="29"/>
        <v>0</v>
      </c>
      <c r="AE72" s="23" t="b">
        <f t="shared" si="30"/>
        <v>0</v>
      </c>
      <c r="AF72" s="23" t="b">
        <f t="shared" si="31"/>
        <v>0</v>
      </c>
      <c r="AG72" s="23" t="b">
        <f t="shared" si="32"/>
        <v>0</v>
      </c>
      <c r="AH72" s="23" t="b">
        <f t="shared" si="33"/>
        <v>0</v>
      </c>
      <c r="AI72" s="23" t="b">
        <f t="shared" si="34"/>
        <v>0</v>
      </c>
      <c r="AJ72" s="23" t="b">
        <v>0</v>
      </c>
      <c r="AK72" s="23" t="b">
        <f t="shared" si="35"/>
        <v>0</v>
      </c>
      <c r="AL72" s="23" t="b">
        <f t="shared" si="36"/>
        <v>0</v>
      </c>
      <c r="AM72" s="23" t="b">
        <f t="shared" si="37"/>
        <v>0</v>
      </c>
      <c r="AN72" s="23" t="b">
        <f t="shared" si="38"/>
        <v>0</v>
      </c>
      <c r="AO72" s="23" t="b">
        <f t="shared" si="39"/>
        <v>0</v>
      </c>
      <c r="AP72" s="23" t="b">
        <f t="shared" si="40"/>
        <v>0</v>
      </c>
      <c r="AQ72" s="23" t="b">
        <f t="shared" si="41"/>
        <v>0</v>
      </c>
      <c r="AR72" s="23" t="b">
        <f t="shared" si="42"/>
        <v>0</v>
      </c>
      <c r="AS72" s="23" t="b">
        <v>0</v>
      </c>
      <c r="AT72" s="23" t="b">
        <f t="shared" si="43"/>
        <v>1</v>
      </c>
      <c r="AU72" s="23" t="b">
        <f t="shared" si="44"/>
        <v>0</v>
      </c>
      <c r="AV72" s="23" t="b">
        <f t="shared" si="45"/>
        <v>0</v>
      </c>
      <c r="AW72" s="23" t="b">
        <f t="shared" si="46"/>
        <v>0</v>
      </c>
      <c r="AX72" s="23" t="s">
        <v>132</v>
      </c>
      <c r="AY72" s="23" t="b">
        <v>0</v>
      </c>
      <c r="AZ72" s="23" t="s">
        <v>367</v>
      </c>
    </row>
    <row r="73" spans="1:52" x14ac:dyDescent="0.2">
      <c r="A73" s="23">
        <v>120</v>
      </c>
      <c r="B73" s="23" t="s">
        <v>472</v>
      </c>
      <c r="C73" s="23" t="s">
        <v>473</v>
      </c>
      <c r="D73" s="23" t="b">
        <v>1</v>
      </c>
      <c r="E73" s="23" t="s">
        <v>474</v>
      </c>
      <c r="F73" s="23" t="s">
        <v>475</v>
      </c>
      <c r="G73" s="23" t="s">
        <v>92</v>
      </c>
      <c r="H73" s="23" t="s">
        <v>388</v>
      </c>
      <c r="J73" s="23" t="s">
        <v>240</v>
      </c>
      <c r="K73" s="23" t="s">
        <v>476</v>
      </c>
      <c r="P73" s="23">
        <v>2013</v>
      </c>
      <c r="Q73" s="23">
        <v>2018</v>
      </c>
      <c r="R73" s="23" t="s">
        <v>242</v>
      </c>
      <c r="T73" s="23" t="s">
        <v>243</v>
      </c>
      <c r="U73" s="23" t="s">
        <v>477</v>
      </c>
      <c r="V73" s="23" t="s">
        <v>223</v>
      </c>
      <c r="W73" s="23" t="s">
        <v>103</v>
      </c>
      <c r="X73" s="23" t="s">
        <v>104</v>
      </c>
      <c r="Y73" s="23" t="b">
        <f t="shared" si="24"/>
        <v>0</v>
      </c>
      <c r="Z73" s="23" t="b">
        <f t="shared" si="25"/>
        <v>0</v>
      </c>
      <c r="AA73" s="23" t="b">
        <f t="shared" si="26"/>
        <v>0</v>
      </c>
      <c r="AB73" s="23" t="b">
        <f t="shared" si="27"/>
        <v>0</v>
      </c>
      <c r="AC73" s="23" t="b">
        <f t="shared" si="28"/>
        <v>0</v>
      </c>
      <c r="AD73" s="23" t="b">
        <f t="shared" si="29"/>
        <v>0</v>
      </c>
      <c r="AE73" s="23" t="b">
        <f t="shared" si="30"/>
        <v>0</v>
      </c>
      <c r="AF73" s="23" t="b">
        <f t="shared" si="31"/>
        <v>0</v>
      </c>
      <c r="AG73" s="23" t="b">
        <f t="shared" si="32"/>
        <v>0</v>
      </c>
      <c r="AH73" s="23" t="b">
        <f t="shared" si="33"/>
        <v>0</v>
      </c>
      <c r="AI73" s="23" t="b">
        <f t="shared" si="34"/>
        <v>0</v>
      </c>
      <c r="AJ73" s="23" t="b">
        <v>1</v>
      </c>
      <c r="AK73" s="23" t="b">
        <f t="shared" si="35"/>
        <v>0</v>
      </c>
      <c r="AL73" s="23" t="b">
        <f t="shared" si="36"/>
        <v>0</v>
      </c>
      <c r="AM73" s="23" t="b">
        <f t="shared" si="37"/>
        <v>0</v>
      </c>
      <c r="AN73" s="23" t="b">
        <f t="shared" si="38"/>
        <v>0</v>
      </c>
      <c r="AO73" s="23" t="b">
        <f t="shared" si="39"/>
        <v>0</v>
      </c>
      <c r="AP73" s="23" t="b">
        <f t="shared" si="40"/>
        <v>0</v>
      </c>
      <c r="AQ73" s="23" t="b">
        <f t="shared" si="41"/>
        <v>0</v>
      </c>
      <c r="AR73" s="23" t="b">
        <f t="shared" si="42"/>
        <v>0</v>
      </c>
      <c r="AS73" s="23" t="b">
        <v>1</v>
      </c>
      <c r="AT73" s="23" t="b">
        <f t="shared" si="43"/>
        <v>0</v>
      </c>
      <c r="AU73" s="23" t="b">
        <f t="shared" si="44"/>
        <v>0</v>
      </c>
      <c r="AV73" s="23" t="b">
        <f t="shared" si="45"/>
        <v>0</v>
      </c>
      <c r="AW73" s="23" t="b">
        <f t="shared" si="46"/>
        <v>0</v>
      </c>
      <c r="AX73" s="23" t="s">
        <v>242</v>
      </c>
      <c r="AY73" s="23" t="b">
        <v>1</v>
      </c>
      <c r="AZ73" s="23" t="s">
        <v>105</v>
      </c>
    </row>
    <row r="74" spans="1:52" x14ac:dyDescent="0.2">
      <c r="A74" s="23">
        <v>121</v>
      </c>
      <c r="B74" s="23" t="s">
        <v>472</v>
      </c>
      <c r="C74" s="23" t="s">
        <v>478</v>
      </c>
      <c r="D74" s="23" t="b">
        <v>1</v>
      </c>
      <c r="E74" s="25" t="s">
        <v>1315</v>
      </c>
      <c r="F74" s="23" t="s">
        <v>479</v>
      </c>
      <c r="G74" s="23" t="s">
        <v>92</v>
      </c>
      <c r="H74" s="23" t="s">
        <v>388</v>
      </c>
      <c r="J74" s="23" t="s">
        <v>240</v>
      </c>
      <c r="K74" s="23" t="s">
        <v>480</v>
      </c>
      <c r="L74" s="23" t="s">
        <v>481</v>
      </c>
      <c r="M74" s="23" t="s">
        <v>482</v>
      </c>
      <c r="P74" s="23">
        <v>2015</v>
      </c>
      <c r="Q74" s="23">
        <v>2018</v>
      </c>
      <c r="R74" s="23" t="s">
        <v>242</v>
      </c>
      <c r="T74" s="23" t="s">
        <v>146</v>
      </c>
      <c r="U74" s="23" t="s">
        <v>111</v>
      </c>
      <c r="V74" s="23" t="s">
        <v>112</v>
      </c>
      <c r="W74" s="23" t="s">
        <v>103</v>
      </c>
      <c r="X74" s="23" t="s">
        <v>104</v>
      </c>
      <c r="Y74" s="23" t="b">
        <f t="shared" si="24"/>
        <v>0</v>
      </c>
      <c r="Z74" s="23" t="b">
        <f t="shared" si="25"/>
        <v>0</v>
      </c>
      <c r="AA74" s="23" t="b">
        <f t="shared" si="26"/>
        <v>0</v>
      </c>
      <c r="AB74" s="23" t="b">
        <f t="shared" si="27"/>
        <v>0</v>
      </c>
      <c r="AC74" s="23" t="b">
        <f t="shared" si="28"/>
        <v>0</v>
      </c>
      <c r="AD74" s="23" t="b">
        <f t="shared" si="29"/>
        <v>0</v>
      </c>
      <c r="AE74" s="23" t="b">
        <f t="shared" si="30"/>
        <v>0</v>
      </c>
      <c r="AF74" s="23" t="b">
        <f t="shared" si="31"/>
        <v>0</v>
      </c>
      <c r="AG74" s="23" t="b">
        <f t="shared" si="32"/>
        <v>0</v>
      </c>
      <c r="AH74" s="23" t="b">
        <f t="shared" si="33"/>
        <v>0</v>
      </c>
      <c r="AI74" s="23" t="b">
        <f t="shared" si="34"/>
        <v>0</v>
      </c>
      <c r="AJ74" s="23" t="b">
        <v>0</v>
      </c>
      <c r="AK74" s="23" t="b">
        <f t="shared" si="35"/>
        <v>0</v>
      </c>
      <c r="AL74" s="23" t="b">
        <f t="shared" si="36"/>
        <v>0</v>
      </c>
      <c r="AM74" s="23" t="b">
        <f t="shared" si="37"/>
        <v>0</v>
      </c>
      <c r="AN74" s="23" t="b">
        <f t="shared" si="38"/>
        <v>1</v>
      </c>
      <c r="AO74" s="23" t="b">
        <f t="shared" si="39"/>
        <v>0</v>
      </c>
      <c r="AP74" s="23" t="b">
        <f t="shared" si="40"/>
        <v>0</v>
      </c>
      <c r="AQ74" s="23" t="b">
        <f t="shared" si="41"/>
        <v>0</v>
      </c>
      <c r="AR74" s="23" t="b">
        <f t="shared" si="42"/>
        <v>0</v>
      </c>
      <c r="AS74" s="23" t="b">
        <v>0</v>
      </c>
      <c r="AT74" s="23" t="b">
        <f t="shared" si="43"/>
        <v>0</v>
      </c>
      <c r="AU74" s="23" t="b">
        <f t="shared" si="44"/>
        <v>0</v>
      </c>
      <c r="AV74" s="23" t="b">
        <f t="shared" si="45"/>
        <v>0</v>
      </c>
      <c r="AW74" s="23" t="b">
        <f t="shared" si="46"/>
        <v>1</v>
      </c>
      <c r="AX74" s="23" t="s">
        <v>242</v>
      </c>
      <c r="AY74" s="23" t="b">
        <v>1</v>
      </c>
      <c r="AZ74" s="23" t="s">
        <v>105</v>
      </c>
    </row>
    <row r="75" spans="1:52" x14ac:dyDescent="0.2">
      <c r="A75" s="23">
        <v>122</v>
      </c>
      <c r="B75" s="23" t="s">
        <v>472</v>
      </c>
      <c r="C75" s="23" t="s">
        <v>483</v>
      </c>
      <c r="D75" s="23" t="b">
        <v>1</v>
      </c>
      <c r="E75" s="25" t="s">
        <v>1316</v>
      </c>
      <c r="F75" s="23" t="s">
        <v>484</v>
      </c>
      <c r="G75" s="23" t="s">
        <v>92</v>
      </c>
      <c r="H75" s="23" t="s">
        <v>388</v>
      </c>
      <c r="J75" s="23" t="s">
        <v>240</v>
      </c>
      <c r="K75" s="23" t="s">
        <v>485</v>
      </c>
      <c r="L75" s="23" t="s">
        <v>481</v>
      </c>
      <c r="M75" s="23" t="s">
        <v>482</v>
      </c>
      <c r="Q75" s="23">
        <v>2018</v>
      </c>
      <c r="R75" s="23" t="s">
        <v>242</v>
      </c>
      <c r="T75" s="23" t="s">
        <v>146</v>
      </c>
      <c r="U75" s="23" t="s">
        <v>111</v>
      </c>
      <c r="V75" s="23" t="s">
        <v>112</v>
      </c>
      <c r="W75" s="23" t="s">
        <v>103</v>
      </c>
      <c r="X75" s="23" t="s">
        <v>104</v>
      </c>
      <c r="Y75" s="23" t="b">
        <f t="shared" si="24"/>
        <v>0</v>
      </c>
      <c r="Z75" s="23" t="b">
        <f t="shared" si="25"/>
        <v>0</v>
      </c>
      <c r="AA75" s="23" t="b">
        <f t="shared" si="26"/>
        <v>0</v>
      </c>
      <c r="AB75" s="23" t="b">
        <f t="shared" si="27"/>
        <v>0</v>
      </c>
      <c r="AC75" s="23" t="b">
        <f t="shared" si="28"/>
        <v>0</v>
      </c>
      <c r="AD75" s="23" t="b">
        <f t="shared" si="29"/>
        <v>0</v>
      </c>
      <c r="AE75" s="23" t="b">
        <f t="shared" si="30"/>
        <v>0</v>
      </c>
      <c r="AF75" s="23" t="b">
        <f t="shared" si="31"/>
        <v>0</v>
      </c>
      <c r="AG75" s="23" t="b">
        <f t="shared" si="32"/>
        <v>0</v>
      </c>
      <c r="AH75" s="23" t="b">
        <f t="shared" si="33"/>
        <v>0</v>
      </c>
      <c r="AI75" s="23" t="b">
        <f t="shared" si="34"/>
        <v>0</v>
      </c>
      <c r="AJ75" s="23" t="b">
        <v>0</v>
      </c>
      <c r="AK75" s="23" t="b">
        <f t="shared" si="35"/>
        <v>0</v>
      </c>
      <c r="AL75" s="23" t="b">
        <f t="shared" si="36"/>
        <v>0</v>
      </c>
      <c r="AM75" s="23" t="b">
        <f t="shared" si="37"/>
        <v>0</v>
      </c>
      <c r="AN75" s="23" t="b">
        <f t="shared" si="38"/>
        <v>1</v>
      </c>
      <c r="AO75" s="23" t="b">
        <f t="shared" si="39"/>
        <v>0</v>
      </c>
      <c r="AP75" s="23" t="b">
        <f t="shared" si="40"/>
        <v>0</v>
      </c>
      <c r="AQ75" s="23" t="b">
        <f t="shared" si="41"/>
        <v>0</v>
      </c>
      <c r="AR75" s="23" t="b">
        <f t="shared" si="42"/>
        <v>0</v>
      </c>
      <c r="AS75" s="23" t="b">
        <v>0</v>
      </c>
      <c r="AT75" s="23" t="b">
        <f t="shared" si="43"/>
        <v>0</v>
      </c>
      <c r="AU75" s="23" t="b">
        <f t="shared" si="44"/>
        <v>0</v>
      </c>
      <c r="AV75" s="23" t="b">
        <f t="shared" si="45"/>
        <v>0</v>
      </c>
      <c r="AW75" s="23" t="b">
        <f t="shared" si="46"/>
        <v>1</v>
      </c>
      <c r="AX75" s="23" t="s">
        <v>242</v>
      </c>
      <c r="AY75" s="23" t="b">
        <v>1</v>
      </c>
      <c r="AZ75" s="23" t="s">
        <v>105</v>
      </c>
    </row>
    <row r="76" spans="1:52" x14ac:dyDescent="0.2">
      <c r="A76" s="23">
        <v>123</v>
      </c>
      <c r="B76" s="23" t="s">
        <v>472</v>
      </c>
      <c r="C76" s="23" t="s">
        <v>486</v>
      </c>
      <c r="D76" s="23" t="b">
        <v>1</v>
      </c>
      <c r="E76" s="25" t="s">
        <v>1317</v>
      </c>
      <c r="F76" s="23" t="s">
        <v>487</v>
      </c>
      <c r="G76" s="23" t="s">
        <v>92</v>
      </c>
      <c r="H76" s="23" t="s">
        <v>388</v>
      </c>
      <c r="J76" s="23" t="s">
        <v>240</v>
      </c>
      <c r="K76" s="23" t="s">
        <v>488</v>
      </c>
      <c r="L76" s="23" t="s">
        <v>481</v>
      </c>
      <c r="M76" s="23" t="s">
        <v>482</v>
      </c>
      <c r="P76" s="23">
        <v>2014</v>
      </c>
      <c r="Q76" s="23">
        <v>2018</v>
      </c>
      <c r="R76" s="23" t="s">
        <v>242</v>
      </c>
      <c r="T76" s="23" t="s">
        <v>100</v>
      </c>
      <c r="U76" s="23" t="s">
        <v>101</v>
      </c>
      <c r="V76" s="23" t="s">
        <v>102</v>
      </c>
      <c r="W76" s="23" t="s">
        <v>103</v>
      </c>
      <c r="X76" s="23" t="s">
        <v>104</v>
      </c>
      <c r="Y76" s="23" t="b">
        <f t="shared" si="24"/>
        <v>0</v>
      </c>
      <c r="Z76" s="23" t="b">
        <f t="shared" si="25"/>
        <v>0</v>
      </c>
      <c r="AA76" s="23" t="b">
        <f t="shared" si="26"/>
        <v>0</v>
      </c>
      <c r="AB76" s="23" t="b">
        <f t="shared" si="27"/>
        <v>0</v>
      </c>
      <c r="AC76" s="23" t="b">
        <f t="shared" si="28"/>
        <v>0</v>
      </c>
      <c r="AD76" s="23" t="b">
        <f t="shared" si="29"/>
        <v>0</v>
      </c>
      <c r="AE76" s="23" t="b">
        <f t="shared" si="30"/>
        <v>0</v>
      </c>
      <c r="AF76" s="23" t="b">
        <f t="shared" si="31"/>
        <v>0</v>
      </c>
      <c r="AG76" s="23" t="b">
        <f t="shared" si="32"/>
        <v>0</v>
      </c>
      <c r="AH76" s="23" t="b">
        <f t="shared" si="33"/>
        <v>0</v>
      </c>
      <c r="AI76" s="23" t="b">
        <f t="shared" si="34"/>
        <v>0</v>
      </c>
      <c r="AJ76" s="23" t="b">
        <v>0</v>
      </c>
      <c r="AK76" s="23" t="b">
        <f t="shared" si="35"/>
        <v>0</v>
      </c>
      <c r="AL76" s="23" t="b">
        <f t="shared" si="36"/>
        <v>0</v>
      </c>
      <c r="AM76" s="23" t="b">
        <f t="shared" si="37"/>
        <v>0</v>
      </c>
      <c r="AN76" s="23" t="b">
        <f t="shared" si="38"/>
        <v>1</v>
      </c>
      <c r="AO76" s="23" t="b">
        <f t="shared" si="39"/>
        <v>0</v>
      </c>
      <c r="AP76" s="23" t="b">
        <f t="shared" si="40"/>
        <v>0</v>
      </c>
      <c r="AQ76" s="23" t="b">
        <f t="shared" si="41"/>
        <v>0</v>
      </c>
      <c r="AR76" s="23" t="b">
        <f t="shared" si="42"/>
        <v>0</v>
      </c>
      <c r="AS76" s="23" t="b">
        <v>0</v>
      </c>
      <c r="AT76" s="23" t="b">
        <f t="shared" si="43"/>
        <v>0</v>
      </c>
      <c r="AU76" s="23" t="b">
        <f t="shared" si="44"/>
        <v>0</v>
      </c>
      <c r="AV76" s="23" t="b">
        <f t="shared" si="45"/>
        <v>0</v>
      </c>
      <c r="AW76" s="23" t="b">
        <f t="shared" si="46"/>
        <v>1</v>
      </c>
      <c r="AX76" s="23" t="s">
        <v>242</v>
      </c>
      <c r="AY76" s="23" t="b">
        <v>1</v>
      </c>
      <c r="AZ76" s="23" t="s">
        <v>105</v>
      </c>
    </row>
    <row r="77" spans="1:52" x14ac:dyDescent="0.2">
      <c r="A77" s="23">
        <v>124</v>
      </c>
      <c r="B77" s="23" t="s">
        <v>489</v>
      </c>
      <c r="C77" s="23" t="s">
        <v>490</v>
      </c>
      <c r="D77" s="23" t="b">
        <v>1</v>
      </c>
      <c r="E77" s="23" t="s">
        <v>491</v>
      </c>
      <c r="F77" s="23" t="s">
        <v>492</v>
      </c>
      <c r="G77" s="23" t="s">
        <v>92</v>
      </c>
      <c r="H77" s="23" t="s">
        <v>493</v>
      </c>
      <c r="J77" s="23" t="s">
        <v>493</v>
      </c>
      <c r="K77" s="23" t="s">
        <v>494</v>
      </c>
      <c r="Q77" s="23">
        <v>2023</v>
      </c>
      <c r="R77" s="23" t="s">
        <v>132</v>
      </c>
      <c r="T77" s="23" t="s">
        <v>188</v>
      </c>
      <c r="U77" s="23" t="s">
        <v>189</v>
      </c>
      <c r="V77" s="23" t="s">
        <v>190</v>
      </c>
      <c r="W77" s="23" t="s">
        <v>103</v>
      </c>
      <c r="X77" s="23" t="s">
        <v>104</v>
      </c>
      <c r="Y77" s="23" t="b">
        <f t="shared" si="24"/>
        <v>0</v>
      </c>
      <c r="Z77" s="23" t="b">
        <f t="shared" si="25"/>
        <v>0</v>
      </c>
      <c r="AA77" s="23" t="b">
        <f t="shared" si="26"/>
        <v>0</v>
      </c>
      <c r="AB77" s="23" t="b">
        <f t="shared" si="27"/>
        <v>0</v>
      </c>
      <c r="AC77" s="23" t="b">
        <f t="shared" si="28"/>
        <v>0</v>
      </c>
      <c r="AD77" s="23" t="b">
        <f t="shared" si="29"/>
        <v>0</v>
      </c>
      <c r="AE77" s="23" t="b">
        <f t="shared" si="30"/>
        <v>0</v>
      </c>
      <c r="AF77" s="23" t="b">
        <f t="shared" si="31"/>
        <v>0</v>
      </c>
      <c r="AG77" s="23" t="b">
        <f t="shared" si="32"/>
        <v>0</v>
      </c>
      <c r="AH77" s="23" t="b">
        <f t="shared" si="33"/>
        <v>0</v>
      </c>
      <c r="AI77" s="23" t="b">
        <f t="shared" si="34"/>
        <v>0</v>
      </c>
      <c r="AJ77" s="23" t="b">
        <v>1</v>
      </c>
      <c r="AK77" s="23" t="b">
        <f t="shared" si="35"/>
        <v>0</v>
      </c>
      <c r="AL77" s="23" t="b">
        <f t="shared" si="36"/>
        <v>0</v>
      </c>
      <c r="AM77" s="23" t="b">
        <f t="shared" si="37"/>
        <v>0</v>
      </c>
      <c r="AN77" s="23" t="b">
        <f t="shared" si="38"/>
        <v>0</v>
      </c>
      <c r="AO77" s="23" t="b">
        <f t="shared" si="39"/>
        <v>0</v>
      </c>
      <c r="AP77" s="23" t="b">
        <f t="shared" si="40"/>
        <v>0</v>
      </c>
      <c r="AQ77" s="23" t="b">
        <f t="shared" si="41"/>
        <v>0</v>
      </c>
      <c r="AR77" s="23" t="b">
        <f t="shared" si="42"/>
        <v>0</v>
      </c>
      <c r="AS77" s="23" t="b">
        <v>1</v>
      </c>
      <c r="AT77" s="23" t="b">
        <f t="shared" si="43"/>
        <v>0</v>
      </c>
      <c r="AU77" s="23" t="b">
        <f t="shared" si="44"/>
        <v>0</v>
      </c>
      <c r="AV77" s="23" t="b">
        <f t="shared" si="45"/>
        <v>0</v>
      </c>
      <c r="AW77" s="23" t="b">
        <f t="shared" si="46"/>
        <v>0</v>
      </c>
      <c r="AX77" s="23" t="s">
        <v>132</v>
      </c>
      <c r="AY77" s="23" t="b">
        <v>0</v>
      </c>
      <c r="AZ77" s="23" t="s">
        <v>105</v>
      </c>
    </row>
    <row r="78" spans="1:52" x14ac:dyDescent="0.2">
      <c r="A78" s="23">
        <v>125</v>
      </c>
      <c r="B78" s="23" t="s">
        <v>489</v>
      </c>
      <c r="C78" s="23" t="s">
        <v>495</v>
      </c>
      <c r="D78" s="23" t="b">
        <v>1</v>
      </c>
      <c r="E78" s="23" t="s">
        <v>496</v>
      </c>
      <c r="F78" s="23" t="s">
        <v>497</v>
      </c>
      <c r="G78" s="23" t="s">
        <v>92</v>
      </c>
      <c r="H78" s="23" t="s">
        <v>493</v>
      </c>
      <c r="J78" s="23" t="s">
        <v>498</v>
      </c>
      <c r="K78" s="23" t="s">
        <v>499</v>
      </c>
      <c r="L78" s="23" t="s">
        <v>500</v>
      </c>
      <c r="M78" s="23" t="s">
        <v>501</v>
      </c>
      <c r="P78" s="23">
        <v>2014</v>
      </c>
      <c r="Q78" s="23">
        <v>2023</v>
      </c>
      <c r="R78" s="23" t="s">
        <v>502</v>
      </c>
      <c r="T78" s="23" t="s">
        <v>188</v>
      </c>
      <c r="U78" s="23" t="s">
        <v>189</v>
      </c>
      <c r="V78" s="23" t="s">
        <v>190</v>
      </c>
      <c r="W78" s="23" t="s">
        <v>103</v>
      </c>
      <c r="X78" s="23" t="s">
        <v>104</v>
      </c>
      <c r="Y78" s="23" t="b">
        <f t="shared" si="24"/>
        <v>0</v>
      </c>
      <c r="Z78" s="23" t="b">
        <f t="shared" si="25"/>
        <v>0</v>
      </c>
      <c r="AA78" s="23" t="b">
        <f t="shared" si="26"/>
        <v>0</v>
      </c>
      <c r="AB78" s="23" t="b">
        <f t="shared" si="27"/>
        <v>0</v>
      </c>
      <c r="AC78" s="23" t="b">
        <f t="shared" si="28"/>
        <v>0</v>
      </c>
      <c r="AD78" s="23" t="b">
        <f t="shared" si="29"/>
        <v>1</v>
      </c>
      <c r="AE78" s="23" t="b">
        <f t="shared" si="30"/>
        <v>0</v>
      </c>
      <c r="AF78" s="23" t="b">
        <f t="shared" si="31"/>
        <v>0</v>
      </c>
      <c r="AG78" s="23" t="b">
        <f t="shared" si="32"/>
        <v>0</v>
      </c>
      <c r="AH78" s="23" t="b">
        <f t="shared" si="33"/>
        <v>0</v>
      </c>
      <c r="AI78" s="23" t="b">
        <f t="shared" si="34"/>
        <v>0</v>
      </c>
      <c r="AJ78" s="23" t="b">
        <v>0</v>
      </c>
      <c r="AK78" s="23" t="b">
        <f t="shared" si="35"/>
        <v>0</v>
      </c>
      <c r="AL78" s="23" t="b">
        <f t="shared" si="36"/>
        <v>0</v>
      </c>
      <c r="AM78" s="23" t="b">
        <f t="shared" si="37"/>
        <v>0</v>
      </c>
      <c r="AN78" s="23" t="b">
        <f t="shared" si="38"/>
        <v>0</v>
      </c>
      <c r="AO78" s="23" t="b">
        <f t="shared" si="39"/>
        <v>0</v>
      </c>
      <c r="AP78" s="23" t="b">
        <f t="shared" si="40"/>
        <v>0</v>
      </c>
      <c r="AQ78" s="23" t="b">
        <f t="shared" si="41"/>
        <v>0</v>
      </c>
      <c r="AR78" s="23" t="b">
        <f t="shared" si="42"/>
        <v>0</v>
      </c>
      <c r="AS78" s="23" t="b">
        <v>0</v>
      </c>
      <c r="AT78" s="23" t="b">
        <f t="shared" si="43"/>
        <v>0</v>
      </c>
      <c r="AU78" s="23" t="b">
        <f t="shared" si="44"/>
        <v>0</v>
      </c>
      <c r="AV78" s="23" t="b">
        <f t="shared" si="45"/>
        <v>1</v>
      </c>
      <c r="AW78" s="23" t="b">
        <f t="shared" si="46"/>
        <v>0</v>
      </c>
      <c r="AX78" s="23" t="s">
        <v>132</v>
      </c>
      <c r="AY78" s="23" t="b">
        <v>0</v>
      </c>
      <c r="AZ78" s="23" t="s">
        <v>105</v>
      </c>
    </row>
    <row r="79" spans="1:52" x14ac:dyDescent="0.2">
      <c r="A79" s="23">
        <v>126</v>
      </c>
      <c r="B79" s="23" t="s">
        <v>489</v>
      </c>
      <c r="C79" s="23" t="s">
        <v>503</v>
      </c>
      <c r="D79" s="23" t="b">
        <v>1</v>
      </c>
      <c r="E79" s="23" t="s">
        <v>504</v>
      </c>
      <c r="F79" s="23" t="s">
        <v>505</v>
      </c>
      <c r="G79" s="23" t="s">
        <v>92</v>
      </c>
      <c r="H79" s="23" t="s">
        <v>493</v>
      </c>
      <c r="J79" s="23" t="s">
        <v>464</v>
      </c>
      <c r="K79" s="23" t="s">
        <v>506</v>
      </c>
      <c r="L79" s="23" t="s">
        <v>500</v>
      </c>
      <c r="M79" s="23" t="s">
        <v>501</v>
      </c>
      <c r="P79" s="23">
        <v>2019</v>
      </c>
      <c r="Q79" s="23">
        <v>2022</v>
      </c>
      <c r="R79" s="23" t="s">
        <v>132</v>
      </c>
      <c r="T79" s="23" t="s">
        <v>188</v>
      </c>
      <c r="U79" s="23" t="s">
        <v>189</v>
      </c>
      <c r="V79" s="23" t="s">
        <v>190</v>
      </c>
      <c r="W79" s="23" t="s">
        <v>103</v>
      </c>
      <c r="X79" s="23" t="s">
        <v>104</v>
      </c>
      <c r="Y79" s="23" t="b">
        <f t="shared" si="24"/>
        <v>0</v>
      </c>
      <c r="Z79" s="23" t="b">
        <f t="shared" si="25"/>
        <v>0</v>
      </c>
      <c r="AA79" s="23" t="b">
        <f t="shared" si="26"/>
        <v>0</v>
      </c>
      <c r="AB79" s="23" t="b">
        <f t="shared" si="27"/>
        <v>0</v>
      </c>
      <c r="AC79" s="23" t="b">
        <f t="shared" si="28"/>
        <v>0</v>
      </c>
      <c r="AD79" s="23" t="b">
        <f t="shared" si="29"/>
        <v>1</v>
      </c>
      <c r="AE79" s="23" t="b">
        <f t="shared" si="30"/>
        <v>0</v>
      </c>
      <c r="AF79" s="23" t="b">
        <f t="shared" si="31"/>
        <v>0</v>
      </c>
      <c r="AG79" s="23" t="b">
        <f t="shared" si="32"/>
        <v>0</v>
      </c>
      <c r="AH79" s="23" t="b">
        <f t="shared" si="33"/>
        <v>0</v>
      </c>
      <c r="AI79" s="23" t="b">
        <f t="shared" si="34"/>
        <v>0</v>
      </c>
      <c r="AJ79" s="23" t="b">
        <v>0</v>
      </c>
      <c r="AK79" s="23" t="b">
        <f t="shared" si="35"/>
        <v>0</v>
      </c>
      <c r="AL79" s="23" t="b">
        <f t="shared" si="36"/>
        <v>0</v>
      </c>
      <c r="AM79" s="23" t="b">
        <f t="shared" si="37"/>
        <v>0</v>
      </c>
      <c r="AN79" s="23" t="b">
        <f t="shared" si="38"/>
        <v>0</v>
      </c>
      <c r="AO79" s="23" t="b">
        <f t="shared" si="39"/>
        <v>0</v>
      </c>
      <c r="AP79" s="23" t="b">
        <f t="shared" si="40"/>
        <v>0</v>
      </c>
      <c r="AQ79" s="23" t="b">
        <f t="shared" si="41"/>
        <v>0</v>
      </c>
      <c r="AR79" s="23" t="b">
        <f t="shared" si="42"/>
        <v>0</v>
      </c>
      <c r="AS79" s="23" t="b">
        <v>0</v>
      </c>
      <c r="AT79" s="23" t="b">
        <f t="shared" si="43"/>
        <v>0</v>
      </c>
      <c r="AU79" s="23" t="b">
        <f t="shared" si="44"/>
        <v>0</v>
      </c>
      <c r="AV79" s="23" t="b">
        <f t="shared" si="45"/>
        <v>1</v>
      </c>
      <c r="AW79" s="23" t="b">
        <f t="shared" si="46"/>
        <v>0</v>
      </c>
      <c r="AX79" s="23" t="s">
        <v>132</v>
      </c>
      <c r="AY79" s="23" t="b">
        <v>0</v>
      </c>
      <c r="AZ79" s="23" t="s">
        <v>105</v>
      </c>
    </row>
    <row r="80" spans="1:52" x14ac:dyDescent="0.2">
      <c r="A80" s="23">
        <v>127</v>
      </c>
      <c r="B80" s="23" t="s">
        <v>489</v>
      </c>
      <c r="C80" s="23" t="s">
        <v>507</v>
      </c>
      <c r="D80" s="23" t="b">
        <v>1</v>
      </c>
      <c r="E80" s="23" t="s">
        <v>508</v>
      </c>
      <c r="F80" s="23" t="s">
        <v>509</v>
      </c>
      <c r="G80" s="23" t="s">
        <v>92</v>
      </c>
      <c r="H80" s="23" t="s">
        <v>510</v>
      </c>
      <c r="I80" s="23" t="s">
        <v>511</v>
      </c>
      <c r="J80" s="23" t="s">
        <v>464</v>
      </c>
      <c r="K80" s="23" t="s">
        <v>512</v>
      </c>
      <c r="L80" s="23" t="s">
        <v>500</v>
      </c>
      <c r="M80" s="23" t="s">
        <v>501</v>
      </c>
      <c r="P80" s="23">
        <v>2010</v>
      </c>
      <c r="Q80" s="23">
        <v>2017</v>
      </c>
      <c r="R80" s="23" t="s">
        <v>513</v>
      </c>
      <c r="T80" s="23" t="s">
        <v>146</v>
      </c>
      <c r="U80" s="23" t="s">
        <v>111</v>
      </c>
      <c r="V80" s="23" t="s">
        <v>112</v>
      </c>
      <c r="W80" s="23" t="s">
        <v>103</v>
      </c>
      <c r="X80" s="23" t="s">
        <v>104</v>
      </c>
      <c r="Y80" s="23" t="b">
        <f t="shared" si="24"/>
        <v>0</v>
      </c>
      <c r="Z80" s="23" t="b">
        <f t="shared" si="25"/>
        <v>0</v>
      </c>
      <c r="AA80" s="23" t="b">
        <f t="shared" si="26"/>
        <v>0</v>
      </c>
      <c r="AB80" s="23" t="b">
        <f t="shared" si="27"/>
        <v>0</v>
      </c>
      <c r="AC80" s="23" t="b">
        <f t="shared" si="28"/>
        <v>0</v>
      </c>
      <c r="AD80" s="23" t="b">
        <f t="shared" si="29"/>
        <v>1</v>
      </c>
      <c r="AE80" s="23" t="b">
        <f t="shared" si="30"/>
        <v>0</v>
      </c>
      <c r="AF80" s="23" t="b">
        <f t="shared" si="31"/>
        <v>0</v>
      </c>
      <c r="AG80" s="23" t="b">
        <f t="shared" si="32"/>
        <v>0</v>
      </c>
      <c r="AH80" s="23" t="b">
        <f t="shared" si="33"/>
        <v>0</v>
      </c>
      <c r="AI80" s="23" t="b">
        <f t="shared" si="34"/>
        <v>0</v>
      </c>
      <c r="AJ80" s="23" t="b">
        <v>0</v>
      </c>
      <c r="AK80" s="23" t="b">
        <f t="shared" si="35"/>
        <v>0</v>
      </c>
      <c r="AL80" s="23" t="b">
        <f t="shared" si="36"/>
        <v>0</v>
      </c>
      <c r="AM80" s="23" t="b">
        <f t="shared" si="37"/>
        <v>0</v>
      </c>
      <c r="AN80" s="23" t="b">
        <f t="shared" si="38"/>
        <v>0</v>
      </c>
      <c r="AO80" s="23" t="b">
        <f t="shared" si="39"/>
        <v>0</v>
      </c>
      <c r="AP80" s="23" t="b">
        <f t="shared" si="40"/>
        <v>0</v>
      </c>
      <c r="AQ80" s="23" t="b">
        <f t="shared" si="41"/>
        <v>0</v>
      </c>
      <c r="AR80" s="23" t="b">
        <f t="shared" si="42"/>
        <v>0</v>
      </c>
      <c r="AS80" s="23" t="b">
        <v>0</v>
      </c>
      <c r="AT80" s="23" t="b">
        <f t="shared" si="43"/>
        <v>0</v>
      </c>
      <c r="AU80" s="23" t="b">
        <f t="shared" si="44"/>
        <v>0</v>
      </c>
      <c r="AV80" s="23" t="b">
        <f t="shared" si="45"/>
        <v>1</v>
      </c>
      <c r="AW80" s="23" t="b">
        <f t="shared" si="46"/>
        <v>0</v>
      </c>
      <c r="AX80" s="23" t="s">
        <v>407</v>
      </c>
      <c r="AY80" s="23" t="b">
        <v>0</v>
      </c>
      <c r="AZ80" s="23" t="s">
        <v>105</v>
      </c>
    </row>
    <row r="81" spans="1:52" x14ac:dyDescent="0.2">
      <c r="A81" s="23">
        <v>128</v>
      </c>
      <c r="B81" s="23" t="s">
        <v>489</v>
      </c>
      <c r="C81" s="23" t="s">
        <v>514</v>
      </c>
      <c r="D81" s="23" t="b">
        <v>1</v>
      </c>
      <c r="E81" s="23" t="s">
        <v>515</v>
      </c>
      <c r="F81" s="23" t="s">
        <v>516</v>
      </c>
      <c r="G81" s="23" t="s">
        <v>92</v>
      </c>
      <c r="H81" s="23" t="s">
        <v>388</v>
      </c>
      <c r="J81" s="23" t="s">
        <v>240</v>
      </c>
      <c r="K81" s="23" t="s">
        <v>517</v>
      </c>
      <c r="P81" s="23">
        <v>2014</v>
      </c>
      <c r="Q81" s="23">
        <v>2018</v>
      </c>
      <c r="R81" s="23" t="s">
        <v>242</v>
      </c>
      <c r="T81" s="23" t="s">
        <v>146</v>
      </c>
      <c r="U81" s="23" t="s">
        <v>111</v>
      </c>
      <c r="V81" s="23" t="s">
        <v>112</v>
      </c>
      <c r="W81" s="23" t="s">
        <v>103</v>
      </c>
      <c r="X81" s="23" t="s">
        <v>104</v>
      </c>
      <c r="Y81" s="23" t="b">
        <f t="shared" si="24"/>
        <v>0</v>
      </c>
      <c r="Z81" s="23" t="b">
        <f t="shared" si="25"/>
        <v>0</v>
      </c>
      <c r="AA81" s="23" t="b">
        <f t="shared" si="26"/>
        <v>0</v>
      </c>
      <c r="AB81" s="23" t="b">
        <f t="shared" si="27"/>
        <v>0</v>
      </c>
      <c r="AC81" s="23" t="b">
        <f t="shared" si="28"/>
        <v>0</v>
      </c>
      <c r="AD81" s="23" t="b">
        <f t="shared" si="29"/>
        <v>0</v>
      </c>
      <c r="AE81" s="23" t="b">
        <f t="shared" si="30"/>
        <v>0</v>
      </c>
      <c r="AF81" s="23" t="b">
        <f t="shared" si="31"/>
        <v>0</v>
      </c>
      <c r="AG81" s="23" t="b">
        <f t="shared" si="32"/>
        <v>0</v>
      </c>
      <c r="AH81" s="23" t="b">
        <f t="shared" si="33"/>
        <v>0</v>
      </c>
      <c r="AI81" s="23" t="b">
        <f t="shared" si="34"/>
        <v>0</v>
      </c>
      <c r="AJ81" s="23" t="b">
        <v>1</v>
      </c>
      <c r="AK81" s="23" t="b">
        <f t="shared" si="35"/>
        <v>0</v>
      </c>
      <c r="AL81" s="23" t="b">
        <f t="shared" si="36"/>
        <v>0</v>
      </c>
      <c r="AM81" s="23" t="b">
        <f t="shared" si="37"/>
        <v>0</v>
      </c>
      <c r="AN81" s="23" t="b">
        <f t="shared" si="38"/>
        <v>0</v>
      </c>
      <c r="AO81" s="23" t="b">
        <f t="shared" si="39"/>
        <v>0</v>
      </c>
      <c r="AP81" s="23" t="b">
        <f t="shared" si="40"/>
        <v>0</v>
      </c>
      <c r="AQ81" s="23" t="b">
        <f t="shared" si="41"/>
        <v>0</v>
      </c>
      <c r="AR81" s="23" t="b">
        <f t="shared" si="42"/>
        <v>0</v>
      </c>
      <c r="AS81" s="23" t="b">
        <v>1</v>
      </c>
      <c r="AT81" s="23" t="b">
        <f t="shared" si="43"/>
        <v>0</v>
      </c>
      <c r="AU81" s="23" t="b">
        <f t="shared" si="44"/>
        <v>0</v>
      </c>
      <c r="AV81" s="23" t="b">
        <f t="shared" si="45"/>
        <v>0</v>
      </c>
      <c r="AW81" s="23" t="b">
        <f t="shared" si="46"/>
        <v>0</v>
      </c>
      <c r="AX81" s="23" t="s">
        <v>242</v>
      </c>
      <c r="AY81" s="23" t="b">
        <v>1</v>
      </c>
      <c r="AZ81" s="23" t="s">
        <v>105</v>
      </c>
    </row>
    <row r="82" spans="1:52" x14ac:dyDescent="0.2">
      <c r="A82" s="23">
        <v>129</v>
      </c>
      <c r="B82" s="23" t="s">
        <v>489</v>
      </c>
      <c r="C82" s="23" t="s">
        <v>518</v>
      </c>
      <c r="D82" s="23" t="b">
        <v>1</v>
      </c>
      <c r="E82" s="23" t="s">
        <v>519</v>
      </c>
      <c r="F82" s="23" t="s">
        <v>520</v>
      </c>
      <c r="G82" s="23" t="s">
        <v>92</v>
      </c>
      <c r="H82" s="23" t="s">
        <v>388</v>
      </c>
      <c r="J82" s="23" t="s">
        <v>240</v>
      </c>
      <c r="K82" s="23" t="s">
        <v>521</v>
      </c>
      <c r="P82" s="23">
        <v>2013</v>
      </c>
      <c r="Q82" s="23">
        <v>2018</v>
      </c>
      <c r="R82" s="23" t="s">
        <v>242</v>
      </c>
      <c r="T82" s="23" t="s">
        <v>156</v>
      </c>
      <c r="U82" s="23" t="s">
        <v>111</v>
      </c>
      <c r="V82" s="23" t="s">
        <v>112</v>
      </c>
      <c r="W82" s="23" t="s">
        <v>103</v>
      </c>
      <c r="X82" s="23" t="s">
        <v>104</v>
      </c>
      <c r="Y82" s="23" t="b">
        <f t="shared" si="24"/>
        <v>0</v>
      </c>
      <c r="Z82" s="23" t="b">
        <f t="shared" si="25"/>
        <v>0</v>
      </c>
      <c r="AA82" s="23" t="b">
        <f t="shared" si="26"/>
        <v>0</v>
      </c>
      <c r="AB82" s="23" t="b">
        <f t="shared" si="27"/>
        <v>0</v>
      </c>
      <c r="AC82" s="23" t="b">
        <f t="shared" si="28"/>
        <v>0</v>
      </c>
      <c r="AD82" s="23" t="b">
        <f t="shared" si="29"/>
        <v>0</v>
      </c>
      <c r="AE82" s="23" t="b">
        <f t="shared" si="30"/>
        <v>0</v>
      </c>
      <c r="AF82" s="23" t="b">
        <f t="shared" si="31"/>
        <v>0</v>
      </c>
      <c r="AG82" s="23" t="b">
        <f t="shared" si="32"/>
        <v>0</v>
      </c>
      <c r="AH82" s="23" t="b">
        <f t="shared" si="33"/>
        <v>0</v>
      </c>
      <c r="AI82" s="23" t="b">
        <f t="shared" si="34"/>
        <v>0</v>
      </c>
      <c r="AJ82" s="23" t="b">
        <v>1</v>
      </c>
      <c r="AK82" s="23" t="b">
        <f t="shared" si="35"/>
        <v>0</v>
      </c>
      <c r="AL82" s="23" t="b">
        <f t="shared" si="36"/>
        <v>0</v>
      </c>
      <c r="AM82" s="23" t="b">
        <f t="shared" si="37"/>
        <v>0</v>
      </c>
      <c r="AN82" s="23" t="b">
        <f t="shared" si="38"/>
        <v>0</v>
      </c>
      <c r="AO82" s="23" t="b">
        <f t="shared" si="39"/>
        <v>0</v>
      </c>
      <c r="AP82" s="23" t="b">
        <f t="shared" si="40"/>
        <v>0</v>
      </c>
      <c r="AQ82" s="23" t="b">
        <f t="shared" si="41"/>
        <v>0</v>
      </c>
      <c r="AR82" s="23" t="b">
        <f t="shared" si="42"/>
        <v>0</v>
      </c>
      <c r="AS82" s="23" t="b">
        <v>1</v>
      </c>
      <c r="AT82" s="23" t="b">
        <f t="shared" si="43"/>
        <v>0</v>
      </c>
      <c r="AU82" s="23" t="b">
        <f t="shared" si="44"/>
        <v>0</v>
      </c>
      <c r="AV82" s="23" t="b">
        <f t="shared" si="45"/>
        <v>0</v>
      </c>
      <c r="AW82" s="23" t="b">
        <f t="shared" si="46"/>
        <v>0</v>
      </c>
      <c r="AX82" s="23" t="s">
        <v>242</v>
      </c>
      <c r="AY82" s="23" t="b">
        <v>1</v>
      </c>
      <c r="AZ82" s="23" t="s">
        <v>105</v>
      </c>
    </row>
    <row r="83" spans="1:52" x14ac:dyDescent="0.2">
      <c r="A83" s="23">
        <v>130</v>
      </c>
      <c r="B83" s="23" t="s">
        <v>489</v>
      </c>
      <c r="C83" s="23" t="s">
        <v>522</v>
      </c>
      <c r="D83" s="23" t="b">
        <v>1</v>
      </c>
      <c r="E83" s="25" t="s">
        <v>1311</v>
      </c>
      <c r="F83" s="23" t="s">
        <v>523</v>
      </c>
      <c r="G83" s="23" t="s">
        <v>92</v>
      </c>
      <c r="H83" s="23" t="s">
        <v>388</v>
      </c>
      <c r="J83" s="23" t="s">
        <v>240</v>
      </c>
      <c r="K83" s="23" t="s">
        <v>524</v>
      </c>
      <c r="L83" s="23" t="s">
        <v>500</v>
      </c>
      <c r="M83" s="23" t="s">
        <v>501</v>
      </c>
      <c r="P83" s="23">
        <v>2016</v>
      </c>
      <c r="Q83" s="23">
        <v>2018</v>
      </c>
      <c r="R83" s="23" t="s">
        <v>242</v>
      </c>
      <c r="T83" s="23" t="s">
        <v>146</v>
      </c>
      <c r="U83" s="23" t="s">
        <v>111</v>
      </c>
      <c r="V83" s="23" t="s">
        <v>112</v>
      </c>
      <c r="W83" s="23" t="s">
        <v>103</v>
      </c>
      <c r="X83" s="23" t="s">
        <v>104</v>
      </c>
      <c r="Y83" s="23" t="b">
        <f t="shared" si="24"/>
        <v>0</v>
      </c>
      <c r="Z83" s="23" t="b">
        <f t="shared" si="25"/>
        <v>0</v>
      </c>
      <c r="AA83" s="23" t="b">
        <f t="shared" si="26"/>
        <v>0</v>
      </c>
      <c r="AB83" s="23" t="b">
        <f t="shared" si="27"/>
        <v>0</v>
      </c>
      <c r="AC83" s="23" t="b">
        <f t="shared" si="28"/>
        <v>0</v>
      </c>
      <c r="AD83" s="23" t="b">
        <f t="shared" si="29"/>
        <v>1</v>
      </c>
      <c r="AE83" s="23" t="b">
        <f t="shared" si="30"/>
        <v>0</v>
      </c>
      <c r="AF83" s="23" t="b">
        <f t="shared" si="31"/>
        <v>0</v>
      </c>
      <c r="AG83" s="23" t="b">
        <f t="shared" si="32"/>
        <v>0</v>
      </c>
      <c r="AH83" s="23" t="b">
        <f t="shared" si="33"/>
        <v>0</v>
      </c>
      <c r="AI83" s="23" t="b">
        <f t="shared" si="34"/>
        <v>0</v>
      </c>
      <c r="AJ83" s="23" t="b">
        <v>0</v>
      </c>
      <c r="AK83" s="23" t="b">
        <f t="shared" si="35"/>
        <v>0</v>
      </c>
      <c r="AL83" s="23" t="b">
        <f t="shared" si="36"/>
        <v>0</v>
      </c>
      <c r="AM83" s="23" t="b">
        <f t="shared" si="37"/>
        <v>0</v>
      </c>
      <c r="AN83" s="23" t="b">
        <f t="shared" si="38"/>
        <v>0</v>
      </c>
      <c r="AO83" s="23" t="b">
        <f t="shared" si="39"/>
        <v>0</v>
      </c>
      <c r="AP83" s="23" t="b">
        <f t="shared" si="40"/>
        <v>0</v>
      </c>
      <c r="AQ83" s="23" t="b">
        <f t="shared" si="41"/>
        <v>0</v>
      </c>
      <c r="AR83" s="23" t="b">
        <f t="shared" si="42"/>
        <v>0</v>
      </c>
      <c r="AS83" s="23" t="b">
        <v>0</v>
      </c>
      <c r="AT83" s="23" t="b">
        <f t="shared" si="43"/>
        <v>0</v>
      </c>
      <c r="AU83" s="23" t="b">
        <f t="shared" si="44"/>
        <v>0</v>
      </c>
      <c r="AV83" s="23" t="b">
        <f t="shared" si="45"/>
        <v>1</v>
      </c>
      <c r="AW83" s="23" t="b">
        <f t="shared" si="46"/>
        <v>0</v>
      </c>
      <c r="AX83" s="23" t="s">
        <v>242</v>
      </c>
      <c r="AY83" s="23" t="b">
        <v>1</v>
      </c>
      <c r="AZ83" s="23" t="s">
        <v>105</v>
      </c>
    </row>
    <row r="84" spans="1:52" x14ac:dyDescent="0.2">
      <c r="A84" s="23">
        <v>131</v>
      </c>
      <c r="B84" s="23" t="s">
        <v>489</v>
      </c>
      <c r="C84" s="23" t="s">
        <v>525</v>
      </c>
      <c r="D84" s="23" t="b">
        <v>1</v>
      </c>
      <c r="E84" s="23" t="s">
        <v>526</v>
      </c>
      <c r="F84" s="23" t="s">
        <v>527</v>
      </c>
      <c r="G84" s="23" t="s">
        <v>528</v>
      </c>
      <c r="H84" s="23" t="s">
        <v>529</v>
      </c>
      <c r="I84" s="23" t="s">
        <v>530</v>
      </c>
      <c r="J84" s="23" t="s">
        <v>531</v>
      </c>
      <c r="K84" s="23" t="s">
        <v>118</v>
      </c>
      <c r="Q84" s="23">
        <v>2022</v>
      </c>
      <c r="V84" s="23" t="s">
        <v>370</v>
      </c>
      <c r="W84" s="23" t="s">
        <v>121</v>
      </c>
      <c r="X84" s="23" t="s">
        <v>104</v>
      </c>
      <c r="Y84" s="23" t="b">
        <f t="shared" si="24"/>
        <v>0</v>
      </c>
      <c r="Z84" s="23" t="b">
        <f t="shared" si="25"/>
        <v>0</v>
      </c>
      <c r="AA84" s="23" t="b">
        <f t="shared" si="26"/>
        <v>0</v>
      </c>
      <c r="AB84" s="23" t="b">
        <f t="shared" si="27"/>
        <v>0</v>
      </c>
      <c r="AC84" s="23" t="b">
        <f t="shared" si="28"/>
        <v>0</v>
      </c>
      <c r="AD84" s="23" t="b">
        <f t="shared" si="29"/>
        <v>0</v>
      </c>
      <c r="AE84" s="23" t="b">
        <f t="shared" si="30"/>
        <v>0</v>
      </c>
      <c r="AF84" s="23" t="b">
        <f t="shared" si="31"/>
        <v>0</v>
      </c>
      <c r="AG84" s="23" t="b">
        <f t="shared" si="32"/>
        <v>0</v>
      </c>
      <c r="AH84" s="23" t="b">
        <f t="shared" si="33"/>
        <v>0</v>
      </c>
      <c r="AI84" s="23" t="b">
        <f t="shared" si="34"/>
        <v>0</v>
      </c>
      <c r="AJ84" s="23" t="b">
        <v>0</v>
      </c>
      <c r="AK84" s="23" t="b">
        <f t="shared" si="35"/>
        <v>0</v>
      </c>
      <c r="AL84" s="23" t="b">
        <f t="shared" si="36"/>
        <v>0</v>
      </c>
      <c r="AM84" s="23" t="b">
        <f t="shared" si="37"/>
        <v>0</v>
      </c>
      <c r="AN84" s="23" t="b">
        <f t="shared" si="38"/>
        <v>0</v>
      </c>
      <c r="AO84" s="23" t="b">
        <f t="shared" si="39"/>
        <v>0</v>
      </c>
      <c r="AP84" s="23" t="b">
        <f t="shared" si="40"/>
        <v>0</v>
      </c>
      <c r="AQ84" s="23" t="b">
        <f t="shared" si="41"/>
        <v>0</v>
      </c>
      <c r="AR84" s="23" t="b">
        <f t="shared" si="42"/>
        <v>0</v>
      </c>
      <c r="AS84" s="23" t="b">
        <v>0</v>
      </c>
      <c r="AT84" s="23" t="b">
        <f t="shared" si="43"/>
        <v>0</v>
      </c>
      <c r="AU84" s="23" t="b">
        <f t="shared" si="44"/>
        <v>0</v>
      </c>
      <c r="AV84" s="23" t="b">
        <f t="shared" si="45"/>
        <v>0</v>
      </c>
      <c r="AW84" s="23" t="b">
        <f t="shared" si="46"/>
        <v>0</v>
      </c>
      <c r="AY84" s="23" t="b">
        <v>0</v>
      </c>
      <c r="AZ84" s="23" t="s">
        <v>105</v>
      </c>
    </row>
    <row r="85" spans="1:52" x14ac:dyDescent="0.2">
      <c r="A85" s="23">
        <v>132</v>
      </c>
      <c r="B85" s="23" t="s">
        <v>489</v>
      </c>
      <c r="C85" s="23" t="s">
        <v>533</v>
      </c>
      <c r="D85" s="23" t="b">
        <v>1</v>
      </c>
      <c r="E85" s="23" t="s">
        <v>534</v>
      </c>
      <c r="F85" s="23" t="s">
        <v>535</v>
      </c>
      <c r="G85" s="23" t="s">
        <v>92</v>
      </c>
      <c r="H85" s="23" t="s">
        <v>529</v>
      </c>
      <c r="I85" s="23" t="s">
        <v>536</v>
      </c>
      <c r="J85" s="23" t="s">
        <v>531</v>
      </c>
      <c r="K85" s="23" t="s">
        <v>118</v>
      </c>
      <c r="Q85" s="23">
        <v>2018</v>
      </c>
      <c r="R85" s="23" t="s">
        <v>132</v>
      </c>
      <c r="T85" s="23" t="s">
        <v>243</v>
      </c>
      <c r="U85" s="23" t="s">
        <v>244</v>
      </c>
      <c r="V85" s="23" t="s">
        <v>223</v>
      </c>
      <c r="W85" s="23" t="s">
        <v>103</v>
      </c>
      <c r="X85" s="23" t="s">
        <v>104</v>
      </c>
      <c r="Y85" s="23" t="b">
        <f t="shared" si="24"/>
        <v>0</v>
      </c>
      <c r="Z85" s="23" t="b">
        <f t="shared" si="25"/>
        <v>0</v>
      </c>
      <c r="AA85" s="23" t="b">
        <f t="shared" si="26"/>
        <v>0</v>
      </c>
      <c r="AB85" s="23" t="b">
        <f t="shared" si="27"/>
        <v>0</v>
      </c>
      <c r="AC85" s="23" t="b">
        <f t="shared" si="28"/>
        <v>0</v>
      </c>
      <c r="AD85" s="23" t="b">
        <f t="shared" si="29"/>
        <v>0</v>
      </c>
      <c r="AE85" s="23" t="b">
        <f t="shared" si="30"/>
        <v>0</v>
      </c>
      <c r="AF85" s="23" t="b">
        <f t="shared" si="31"/>
        <v>0</v>
      </c>
      <c r="AG85" s="23" t="b">
        <f t="shared" si="32"/>
        <v>0</v>
      </c>
      <c r="AH85" s="23" t="b">
        <f t="shared" si="33"/>
        <v>0</v>
      </c>
      <c r="AI85" s="23" t="b">
        <f t="shared" si="34"/>
        <v>0</v>
      </c>
      <c r="AJ85" s="23" t="b">
        <v>0</v>
      </c>
      <c r="AK85" s="23" t="b">
        <f t="shared" si="35"/>
        <v>0</v>
      </c>
      <c r="AL85" s="23" t="b">
        <f t="shared" si="36"/>
        <v>0</v>
      </c>
      <c r="AM85" s="23" t="b">
        <f t="shared" si="37"/>
        <v>0</v>
      </c>
      <c r="AN85" s="23" t="b">
        <f t="shared" si="38"/>
        <v>0</v>
      </c>
      <c r="AO85" s="23" t="b">
        <f t="shared" si="39"/>
        <v>0</v>
      </c>
      <c r="AP85" s="23" t="b">
        <f t="shared" si="40"/>
        <v>0</v>
      </c>
      <c r="AQ85" s="23" t="b">
        <f t="shared" si="41"/>
        <v>0</v>
      </c>
      <c r="AR85" s="23" t="b">
        <f t="shared" si="42"/>
        <v>0</v>
      </c>
      <c r="AS85" s="23" t="b">
        <v>0</v>
      </c>
      <c r="AT85" s="23" t="b">
        <f t="shared" si="43"/>
        <v>0</v>
      </c>
      <c r="AU85" s="23" t="b">
        <f t="shared" si="44"/>
        <v>0</v>
      </c>
      <c r="AV85" s="23" t="b">
        <f t="shared" si="45"/>
        <v>0</v>
      </c>
      <c r="AW85" s="23" t="b">
        <f t="shared" si="46"/>
        <v>0</v>
      </c>
      <c r="AX85" s="23" t="s">
        <v>132</v>
      </c>
      <c r="AY85" s="23" t="b">
        <v>0</v>
      </c>
      <c r="AZ85" s="23" t="s">
        <v>105</v>
      </c>
    </row>
    <row r="86" spans="1:52" x14ac:dyDescent="0.2">
      <c r="A86" s="23">
        <v>133</v>
      </c>
      <c r="B86" s="23" t="s">
        <v>489</v>
      </c>
      <c r="C86" s="23" t="s">
        <v>537</v>
      </c>
      <c r="D86" s="23" t="b">
        <v>1</v>
      </c>
      <c r="E86" s="25" t="s">
        <v>1310</v>
      </c>
      <c r="F86" s="23" t="s">
        <v>538</v>
      </c>
      <c r="G86" s="23" t="s">
        <v>92</v>
      </c>
      <c r="H86" s="23" t="s">
        <v>529</v>
      </c>
      <c r="I86" s="23" t="s">
        <v>539</v>
      </c>
      <c r="J86" s="23" t="s">
        <v>95</v>
      </c>
      <c r="K86" s="23" t="s">
        <v>118</v>
      </c>
      <c r="L86" s="23" t="s">
        <v>500</v>
      </c>
      <c r="M86" s="23" t="s">
        <v>501</v>
      </c>
      <c r="Q86" s="23">
        <v>2018</v>
      </c>
      <c r="R86" s="23" t="s">
        <v>119</v>
      </c>
      <c r="T86" s="23" t="s">
        <v>243</v>
      </c>
      <c r="U86" s="23" t="s">
        <v>244</v>
      </c>
      <c r="V86" s="23" t="s">
        <v>223</v>
      </c>
      <c r="W86" s="23" t="s">
        <v>103</v>
      </c>
      <c r="X86" s="23" t="s">
        <v>104</v>
      </c>
      <c r="Y86" s="23" t="b">
        <f t="shared" si="24"/>
        <v>0</v>
      </c>
      <c r="Z86" s="23" t="b">
        <f t="shared" si="25"/>
        <v>0</v>
      </c>
      <c r="AA86" s="23" t="b">
        <f t="shared" si="26"/>
        <v>0</v>
      </c>
      <c r="AB86" s="23" t="b">
        <f t="shared" si="27"/>
        <v>0</v>
      </c>
      <c r="AC86" s="23" t="b">
        <f t="shared" si="28"/>
        <v>0</v>
      </c>
      <c r="AD86" s="23" t="b">
        <f t="shared" si="29"/>
        <v>1</v>
      </c>
      <c r="AE86" s="23" t="b">
        <f t="shared" si="30"/>
        <v>0</v>
      </c>
      <c r="AF86" s="23" t="b">
        <f t="shared" si="31"/>
        <v>0</v>
      </c>
      <c r="AG86" s="23" t="b">
        <f t="shared" si="32"/>
        <v>0</v>
      </c>
      <c r="AH86" s="23" t="b">
        <f t="shared" si="33"/>
        <v>0</v>
      </c>
      <c r="AI86" s="23" t="b">
        <f t="shared" si="34"/>
        <v>0</v>
      </c>
      <c r="AJ86" s="23" t="b">
        <v>0</v>
      </c>
      <c r="AK86" s="23" t="b">
        <f t="shared" si="35"/>
        <v>0</v>
      </c>
      <c r="AL86" s="23" t="b">
        <f t="shared" si="36"/>
        <v>0</v>
      </c>
      <c r="AM86" s="23" t="b">
        <f t="shared" si="37"/>
        <v>0</v>
      </c>
      <c r="AN86" s="23" t="b">
        <f t="shared" si="38"/>
        <v>0</v>
      </c>
      <c r="AO86" s="23" t="b">
        <f t="shared" si="39"/>
        <v>0</v>
      </c>
      <c r="AP86" s="23" t="b">
        <f t="shared" si="40"/>
        <v>0</v>
      </c>
      <c r="AQ86" s="23" t="b">
        <f t="shared" si="41"/>
        <v>0</v>
      </c>
      <c r="AR86" s="23" t="b">
        <f t="shared" si="42"/>
        <v>0</v>
      </c>
      <c r="AS86" s="23" t="b">
        <v>0</v>
      </c>
      <c r="AT86" s="23" t="b">
        <f t="shared" si="43"/>
        <v>0</v>
      </c>
      <c r="AU86" s="23" t="b">
        <f t="shared" si="44"/>
        <v>0</v>
      </c>
      <c r="AV86" s="23" t="b">
        <f t="shared" si="45"/>
        <v>1</v>
      </c>
      <c r="AW86" s="23" t="b">
        <f t="shared" si="46"/>
        <v>0</v>
      </c>
      <c r="AX86" s="23" t="s">
        <v>99</v>
      </c>
      <c r="AY86" s="23" t="b">
        <v>0</v>
      </c>
      <c r="AZ86" s="23" t="s">
        <v>105</v>
      </c>
    </row>
    <row r="87" spans="1:52" x14ac:dyDescent="0.2">
      <c r="A87" s="23">
        <v>134</v>
      </c>
      <c r="B87" s="23" t="s">
        <v>489</v>
      </c>
      <c r="C87" s="23" t="s">
        <v>540</v>
      </c>
      <c r="D87" s="23" t="b">
        <v>1</v>
      </c>
      <c r="E87" s="25" t="s">
        <v>1309</v>
      </c>
      <c r="F87" s="23" t="s">
        <v>541</v>
      </c>
      <c r="G87" s="23" t="s">
        <v>92</v>
      </c>
      <c r="H87" s="23" t="s">
        <v>529</v>
      </c>
      <c r="I87" s="23" t="s">
        <v>542</v>
      </c>
      <c r="J87" s="23" t="s">
        <v>95</v>
      </c>
      <c r="K87" s="23" t="s">
        <v>118</v>
      </c>
      <c r="L87" s="23" t="s">
        <v>500</v>
      </c>
      <c r="M87" s="23" t="s">
        <v>501</v>
      </c>
      <c r="Q87" s="23">
        <v>2018</v>
      </c>
      <c r="R87" s="23" t="s">
        <v>543</v>
      </c>
      <c r="T87" s="23" t="s">
        <v>243</v>
      </c>
      <c r="U87" s="23" t="s">
        <v>244</v>
      </c>
      <c r="V87" s="23" t="s">
        <v>223</v>
      </c>
      <c r="W87" s="23" t="s">
        <v>103</v>
      </c>
      <c r="X87" s="23" t="s">
        <v>104</v>
      </c>
      <c r="Y87" s="23" t="b">
        <f t="shared" si="24"/>
        <v>0</v>
      </c>
      <c r="Z87" s="23" t="b">
        <f t="shared" si="25"/>
        <v>0</v>
      </c>
      <c r="AA87" s="23" t="b">
        <f t="shared" si="26"/>
        <v>0</v>
      </c>
      <c r="AB87" s="23" t="b">
        <f t="shared" si="27"/>
        <v>0</v>
      </c>
      <c r="AC87" s="23" t="b">
        <f t="shared" si="28"/>
        <v>0</v>
      </c>
      <c r="AD87" s="23" t="b">
        <f t="shared" si="29"/>
        <v>1</v>
      </c>
      <c r="AE87" s="23" t="b">
        <f t="shared" si="30"/>
        <v>0</v>
      </c>
      <c r="AF87" s="23" t="b">
        <f t="shared" si="31"/>
        <v>0</v>
      </c>
      <c r="AG87" s="23" t="b">
        <f t="shared" si="32"/>
        <v>0</v>
      </c>
      <c r="AH87" s="23" t="b">
        <f t="shared" si="33"/>
        <v>0</v>
      </c>
      <c r="AI87" s="23" t="b">
        <f t="shared" si="34"/>
        <v>0</v>
      </c>
      <c r="AJ87" s="23" t="b">
        <v>0</v>
      </c>
      <c r="AK87" s="23" t="b">
        <f t="shared" si="35"/>
        <v>0</v>
      </c>
      <c r="AL87" s="23" t="b">
        <f t="shared" si="36"/>
        <v>0</v>
      </c>
      <c r="AM87" s="23" t="b">
        <f t="shared" si="37"/>
        <v>0</v>
      </c>
      <c r="AN87" s="23" t="b">
        <f t="shared" si="38"/>
        <v>0</v>
      </c>
      <c r="AO87" s="23" t="b">
        <f t="shared" si="39"/>
        <v>0</v>
      </c>
      <c r="AP87" s="23" t="b">
        <f t="shared" si="40"/>
        <v>0</v>
      </c>
      <c r="AQ87" s="23" t="b">
        <f t="shared" si="41"/>
        <v>0</v>
      </c>
      <c r="AR87" s="23" t="b">
        <f t="shared" si="42"/>
        <v>0</v>
      </c>
      <c r="AS87" s="23" t="b">
        <v>0</v>
      </c>
      <c r="AT87" s="23" t="b">
        <f t="shared" si="43"/>
        <v>0</v>
      </c>
      <c r="AU87" s="23" t="b">
        <f t="shared" si="44"/>
        <v>0</v>
      </c>
      <c r="AV87" s="23" t="b">
        <f t="shared" si="45"/>
        <v>1</v>
      </c>
      <c r="AW87" s="23" t="b">
        <f t="shared" si="46"/>
        <v>0</v>
      </c>
      <c r="AX87" s="23" t="s">
        <v>407</v>
      </c>
      <c r="AY87" s="23" t="b">
        <v>0</v>
      </c>
      <c r="AZ87" s="23" t="s">
        <v>105</v>
      </c>
    </row>
    <row r="88" spans="1:52" x14ac:dyDescent="0.2">
      <c r="A88" s="23">
        <v>135</v>
      </c>
      <c r="B88" s="23" t="s">
        <v>489</v>
      </c>
      <c r="C88" s="25" t="s">
        <v>1312</v>
      </c>
      <c r="D88" s="23" t="b">
        <v>1</v>
      </c>
      <c r="E88" s="25" t="s">
        <v>1307</v>
      </c>
      <c r="F88" s="23" t="s">
        <v>544</v>
      </c>
      <c r="G88" s="23" t="s">
        <v>92</v>
      </c>
      <c r="H88" s="23" t="s">
        <v>545</v>
      </c>
      <c r="I88" s="25" t="s">
        <v>1314</v>
      </c>
      <c r="J88" s="23" t="s">
        <v>464</v>
      </c>
      <c r="K88" s="23" t="s">
        <v>546</v>
      </c>
      <c r="L88" s="23" t="s">
        <v>500</v>
      </c>
      <c r="M88" s="23" t="s">
        <v>501</v>
      </c>
      <c r="Q88" s="23">
        <v>2018</v>
      </c>
      <c r="R88" s="23" t="s">
        <v>132</v>
      </c>
      <c r="T88" s="23" t="s">
        <v>547</v>
      </c>
      <c r="U88" s="23" t="s">
        <v>101</v>
      </c>
      <c r="V88" s="23" t="s">
        <v>102</v>
      </c>
      <c r="W88" s="23" t="s">
        <v>103</v>
      </c>
      <c r="X88" s="23" t="s">
        <v>104</v>
      </c>
      <c r="Y88" s="23" t="b">
        <f t="shared" si="24"/>
        <v>0</v>
      </c>
      <c r="Z88" s="23" t="b">
        <f t="shared" si="25"/>
        <v>0</v>
      </c>
      <c r="AA88" s="23" t="b">
        <f t="shared" si="26"/>
        <v>0</v>
      </c>
      <c r="AB88" s="23" t="b">
        <f t="shared" si="27"/>
        <v>0</v>
      </c>
      <c r="AC88" s="23" t="b">
        <f t="shared" si="28"/>
        <v>0</v>
      </c>
      <c r="AD88" s="23" t="b">
        <f t="shared" si="29"/>
        <v>1</v>
      </c>
      <c r="AE88" s="23" t="b">
        <f t="shared" si="30"/>
        <v>0</v>
      </c>
      <c r="AF88" s="23" t="b">
        <f t="shared" si="31"/>
        <v>0</v>
      </c>
      <c r="AG88" s="23" t="b">
        <f t="shared" si="32"/>
        <v>0</v>
      </c>
      <c r="AH88" s="23" t="b">
        <f t="shared" si="33"/>
        <v>0</v>
      </c>
      <c r="AI88" s="23" t="b">
        <f t="shared" si="34"/>
        <v>0</v>
      </c>
      <c r="AJ88" s="23" t="b">
        <v>0</v>
      </c>
      <c r="AK88" s="23" t="b">
        <f t="shared" si="35"/>
        <v>0</v>
      </c>
      <c r="AL88" s="23" t="b">
        <f t="shared" si="36"/>
        <v>0</v>
      </c>
      <c r="AM88" s="23" t="b">
        <f t="shared" si="37"/>
        <v>0</v>
      </c>
      <c r="AN88" s="23" t="b">
        <f t="shared" si="38"/>
        <v>0</v>
      </c>
      <c r="AO88" s="23" t="b">
        <f t="shared" si="39"/>
        <v>0</v>
      </c>
      <c r="AP88" s="23" t="b">
        <f t="shared" si="40"/>
        <v>0</v>
      </c>
      <c r="AQ88" s="23" t="b">
        <f t="shared" si="41"/>
        <v>0</v>
      </c>
      <c r="AR88" s="23" t="b">
        <f t="shared" si="42"/>
        <v>0</v>
      </c>
      <c r="AS88" s="23" t="b">
        <v>0</v>
      </c>
      <c r="AT88" s="23" t="b">
        <f t="shared" si="43"/>
        <v>0</v>
      </c>
      <c r="AU88" s="23" t="b">
        <f t="shared" si="44"/>
        <v>0</v>
      </c>
      <c r="AV88" s="23" t="b">
        <f t="shared" si="45"/>
        <v>1</v>
      </c>
      <c r="AW88" s="23" t="b">
        <f t="shared" si="46"/>
        <v>0</v>
      </c>
      <c r="AX88" s="23" t="s">
        <v>132</v>
      </c>
      <c r="AY88" s="23" t="b">
        <v>0</v>
      </c>
      <c r="AZ88" s="23" t="s">
        <v>105</v>
      </c>
    </row>
    <row r="89" spans="1:52" x14ac:dyDescent="0.2">
      <c r="A89" s="23">
        <v>136</v>
      </c>
      <c r="B89" s="23" t="s">
        <v>489</v>
      </c>
      <c r="C89" s="25" t="s">
        <v>1312</v>
      </c>
      <c r="D89" s="23" t="b">
        <v>1</v>
      </c>
      <c r="E89" s="25" t="s">
        <v>1308</v>
      </c>
      <c r="F89" s="23" t="s">
        <v>548</v>
      </c>
      <c r="G89" s="23" t="s">
        <v>92</v>
      </c>
      <c r="H89" s="23" t="s">
        <v>545</v>
      </c>
      <c r="I89" s="25" t="s">
        <v>1313</v>
      </c>
      <c r="J89" s="23" t="s">
        <v>464</v>
      </c>
      <c r="K89" s="23" t="s">
        <v>546</v>
      </c>
      <c r="L89" s="23" t="s">
        <v>500</v>
      </c>
      <c r="M89" s="23" t="s">
        <v>501</v>
      </c>
      <c r="P89" s="23">
        <v>2017</v>
      </c>
      <c r="Q89" s="23">
        <v>2018</v>
      </c>
      <c r="R89" s="23" t="s">
        <v>132</v>
      </c>
      <c r="T89" s="23" t="s">
        <v>547</v>
      </c>
      <c r="U89" s="23" t="s">
        <v>101</v>
      </c>
      <c r="V89" s="23" t="s">
        <v>102</v>
      </c>
      <c r="W89" s="23" t="s">
        <v>103</v>
      </c>
      <c r="X89" s="23" t="s">
        <v>104</v>
      </c>
      <c r="Y89" s="23" t="b">
        <f t="shared" si="24"/>
        <v>0</v>
      </c>
      <c r="Z89" s="23" t="b">
        <f t="shared" si="25"/>
        <v>0</v>
      </c>
      <c r="AA89" s="23" t="b">
        <f t="shared" si="26"/>
        <v>0</v>
      </c>
      <c r="AB89" s="23" t="b">
        <f t="shared" si="27"/>
        <v>0</v>
      </c>
      <c r="AC89" s="23" t="b">
        <f t="shared" si="28"/>
        <v>0</v>
      </c>
      <c r="AD89" s="23" t="b">
        <f t="shared" si="29"/>
        <v>1</v>
      </c>
      <c r="AE89" s="23" t="b">
        <f t="shared" si="30"/>
        <v>0</v>
      </c>
      <c r="AF89" s="23" t="b">
        <f t="shared" si="31"/>
        <v>0</v>
      </c>
      <c r="AG89" s="23" t="b">
        <f t="shared" si="32"/>
        <v>0</v>
      </c>
      <c r="AH89" s="23" t="b">
        <f t="shared" si="33"/>
        <v>0</v>
      </c>
      <c r="AI89" s="23" t="b">
        <f t="shared" si="34"/>
        <v>0</v>
      </c>
      <c r="AJ89" s="23" t="b">
        <v>0</v>
      </c>
      <c r="AK89" s="23" t="b">
        <f t="shared" si="35"/>
        <v>0</v>
      </c>
      <c r="AL89" s="23" t="b">
        <f t="shared" si="36"/>
        <v>0</v>
      </c>
      <c r="AM89" s="23" t="b">
        <f t="shared" si="37"/>
        <v>0</v>
      </c>
      <c r="AN89" s="23" t="b">
        <f t="shared" si="38"/>
        <v>0</v>
      </c>
      <c r="AO89" s="23" t="b">
        <f t="shared" si="39"/>
        <v>0</v>
      </c>
      <c r="AP89" s="23" t="b">
        <f t="shared" si="40"/>
        <v>0</v>
      </c>
      <c r="AQ89" s="23" t="b">
        <f t="shared" si="41"/>
        <v>0</v>
      </c>
      <c r="AR89" s="23" t="b">
        <f t="shared" si="42"/>
        <v>0</v>
      </c>
      <c r="AS89" s="23" t="b">
        <v>0</v>
      </c>
      <c r="AT89" s="23" t="b">
        <f t="shared" si="43"/>
        <v>0</v>
      </c>
      <c r="AU89" s="23" t="b">
        <f t="shared" si="44"/>
        <v>0</v>
      </c>
      <c r="AV89" s="23" t="b">
        <f t="shared" si="45"/>
        <v>1</v>
      </c>
      <c r="AW89" s="23" t="b">
        <f t="shared" si="46"/>
        <v>0</v>
      </c>
      <c r="AX89" s="23" t="s">
        <v>132</v>
      </c>
      <c r="AY89" s="23" t="b">
        <v>0</v>
      </c>
      <c r="AZ89" s="23" t="s">
        <v>105</v>
      </c>
    </row>
    <row r="90" spans="1:52" x14ac:dyDescent="0.2">
      <c r="A90" s="23">
        <v>137</v>
      </c>
      <c r="B90" s="23" t="s">
        <v>549</v>
      </c>
      <c r="C90" s="23" t="s">
        <v>550</v>
      </c>
      <c r="D90" s="23" t="b">
        <v>1</v>
      </c>
      <c r="E90" s="23" t="s">
        <v>551</v>
      </c>
      <c r="F90" s="23" t="s">
        <v>552</v>
      </c>
      <c r="G90" s="23" t="s">
        <v>92</v>
      </c>
      <c r="H90" s="23" t="s">
        <v>553</v>
      </c>
      <c r="J90" s="23" t="s">
        <v>95</v>
      </c>
      <c r="K90" s="23" t="s">
        <v>554</v>
      </c>
      <c r="Q90" s="23">
        <v>2019</v>
      </c>
      <c r="R90" s="23" t="s">
        <v>555</v>
      </c>
      <c r="T90" s="23" t="s">
        <v>156</v>
      </c>
      <c r="U90" s="23" t="s">
        <v>111</v>
      </c>
      <c r="V90" s="23" t="s">
        <v>370</v>
      </c>
      <c r="W90" s="23" t="s">
        <v>121</v>
      </c>
      <c r="X90" s="23" t="s">
        <v>104</v>
      </c>
      <c r="Y90" s="23" t="b">
        <f t="shared" si="24"/>
        <v>0</v>
      </c>
      <c r="Z90" s="23" t="b">
        <f t="shared" si="25"/>
        <v>0</v>
      </c>
      <c r="AA90" s="23" t="b">
        <f t="shared" si="26"/>
        <v>0</v>
      </c>
      <c r="AB90" s="23" t="b">
        <f t="shared" si="27"/>
        <v>0</v>
      </c>
      <c r="AC90" s="23" t="b">
        <f t="shared" si="28"/>
        <v>0</v>
      </c>
      <c r="AD90" s="23" t="b">
        <f t="shared" si="29"/>
        <v>0</v>
      </c>
      <c r="AE90" s="23" t="b">
        <f t="shared" si="30"/>
        <v>0</v>
      </c>
      <c r="AF90" s="23" t="b">
        <f t="shared" si="31"/>
        <v>0</v>
      </c>
      <c r="AG90" s="23" t="b">
        <f t="shared" si="32"/>
        <v>0</v>
      </c>
      <c r="AH90" s="23" t="b">
        <f t="shared" si="33"/>
        <v>0</v>
      </c>
      <c r="AI90" s="23" t="b">
        <f t="shared" si="34"/>
        <v>0</v>
      </c>
      <c r="AJ90" s="23" t="b">
        <v>1</v>
      </c>
      <c r="AK90" s="23" t="b">
        <f t="shared" si="35"/>
        <v>0</v>
      </c>
      <c r="AL90" s="23" t="b">
        <f t="shared" si="36"/>
        <v>0</v>
      </c>
      <c r="AM90" s="23" t="b">
        <f t="shared" si="37"/>
        <v>0</v>
      </c>
      <c r="AN90" s="23" t="b">
        <f t="shared" si="38"/>
        <v>0</v>
      </c>
      <c r="AO90" s="23" t="b">
        <f t="shared" si="39"/>
        <v>0</v>
      </c>
      <c r="AP90" s="23" t="b">
        <f t="shared" si="40"/>
        <v>0</v>
      </c>
      <c r="AQ90" s="23" t="b">
        <f t="shared" si="41"/>
        <v>0</v>
      </c>
      <c r="AR90" s="23" t="b">
        <f t="shared" si="42"/>
        <v>0</v>
      </c>
      <c r="AS90" s="23" t="b">
        <v>1</v>
      </c>
      <c r="AT90" s="23" t="b">
        <f t="shared" si="43"/>
        <v>0</v>
      </c>
      <c r="AU90" s="23" t="b">
        <f t="shared" si="44"/>
        <v>0</v>
      </c>
      <c r="AV90" s="23" t="b">
        <f t="shared" si="45"/>
        <v>0</v>
      </c>
      <c r="AW90" s="23" t="b">
        <f t="shared" si="46"/>
        <v>0</v>
      </c>
      <c r="AX90" s="23" t="s">
        <v>555</v>
      </c>
      <c r="AY90" s="23" t="b">
        <v>0</v>
      </c>
      <c r="AZ90" s="23" t="s">
        <v>105</v>
      </c>
    </row>
    <row r="91" spans="1:52" x14ac:dyDescent="0.2">
      <c r="A91" s="23">
        <v>138</v>
      </c>
      <c r="B91" s="23" t="s">
        <v>549</v>
      </c>
      <c r="C91" s="23" t="s">
        <v>556</v>
      </c>
      <c r="D91" s="23" t="b">
        <v>1</v>
      </c>
      <c r="E91" s="23" t="s">
        <v>557</v>
      </c>
      <c r="F91" s="23" t="s">
        <v>558</v>
      </c>
      <c r="G91" s="23" t="s">
        <v>92</v>
      </c>
      <c r="H91" s="23" t="s">
        <v>559</v>
      </c>
      <c r="I91" s="23" t="s">
        <v>560</v>
      </c>
      <c r="J91" s="23" t="s">
        <v>561</v>
      </c>
      <c r="K91" s="23" t="s">
        <v>562</v>
      </c>
      <c r="Q91" s="23">
        <v>2017</v>
      </c>
      <c r="R91" s="23" t="s">
        <v>119</v>
      </c>
      <c r="T91" s="23" t="s">
        <v>146</v>
      </c>
      <c r="U91" s="23" t="s">
        <v>111</v>
      </c>
      <c r="V91" s="23" t="s">
        <v>112</v>
      </c>
      <c r="W91" s="23" t="s">
        <v>103</v>
      </c>
      <c r="X91" s="23" t="s">
        <v>104</v>
      </c>
      <c r="Y91" s="23" t="b">
        <f t="shared" si="24"/>
        <v>0</v>
      </c>
      <c r="Z91" s="23" t="b">
        <f t="shared" si="25"/>
        <v>0</v>
      </c>
      <c r="AA91" s="23" t="b">
        <f t="shared" si="26"/>
        <v>0</v>
      </c>
      <c r="AB91" s="23" t="b">
        <f t="shared" si="27"/>
        <v>0</v>
      </c>
      <c r="AC91" s="23" t="b">
        <f t="shared" si="28"/>
        <v>0</v>
      </c>
      <c r="AD91" s="23" t="b">
        <f t="shared" si="29"/>
        <v>0</v>
      </c>
      <c r="AE91" s="23" t="b">
        <f t="shared" si="30"/>
        <v>0</v>
      </c>
      <c r="AF91" s="23" t="b">
        <f t="shared" si="31"/>
        <v>0</v>
      </c>
      <c r="AG91" s="23" t="b">
        <f t="shared" si="32"/>
        <v>0</v>
      </c>
      <c r="AH91" s="23" t="b">
        <f t="shared" si="33"/>
        <v>0</v>
      </c>
      <c r="AI91" s="23" t="b">
        <f t="shared" si="34"/>
        <v>0</v>
      </c>
      <c r="AJ91" s="23" t="b">
        <v>0</v>
      </c>
      <c r="AK91" s="23" t="b">
        <f t="shared" si="35"/>
        <v>0</v>
      </c>
      <c r="AL91" s="23" t="b">
        <f t="shared" si="36"/>
        <v>0</v>
      </c>
      <c r="AM91" s="23" t="b">
        <f t="shared" si="37"/>
        <v>0</v>
      </c>
      <c r="AN91" s="23" t="b">
        <f t="shared" si="38"/>
        <v>0</v>
      </c>
      <c r="AO91" s="23" t="b">
        <f t="shared" si="39"/>
        <v>0</v>
      </c>
      <c r="AP91" s="23" t="b">
        <f t="shared" si="40"/>
        <v>0</v>
      </c>
      <c r="AQ91" s="23" t="b">
        <f t="shared" si="41"/>
        <v>0</v>
      </c>
      <c r="AR91" s="23" t="b">
        <f t="shared" si="42"/>
        <v>0</v>
      </c>
      <c r="AS91" s="23" t="b">
        <v>0</v>
      </c>
      <c r="AT91" s="23" t="b">
        <f t="shared" si="43"/>
        <v>0</v>
      </c>
      <c r="AU91" s="23" t="b">
        <f t="shared" si="44"/>
        <v>0</v>
      </c>
      <c r="AV91" s="23" t="b">
        <f t="shared" si="45"/>
        <v>0</v>
      </c>
      <c r="AW91" s="23" t="b">
        <f t="shared" si="46"/>
        <v>0</v>
      </c>
      <c r="AX91" s="23" t="s">
        <v>99</v>
      </c>
      <c r="AY91" s="23" t="b">
        <v>0</v>
      </c>
      <c r="AZ91" s="23" t="s">
        <v>105</v>
      </c>
    </row>
    <row r="92" spans="1:52" x14ac:dyDescent="0.2">
      <c r="A92" s="23">
        <v>139</v>
      </c>
      <c r="B92" s="23" t="s">
        <v>549</v>
      </c>
      <c r="C92" s="23" t="s">
        <v>563</v>
      </c>
      <c r="D92" s="23" t="b">
        <v>1</v>
      </c>
      <c r="E92" s="23" t="s">
        <v>564</v>
      </c>
      <c r="F92" s="23" t="s">
        <v>565</v>
      </c>
      <c r="G92" s="23" t="s">
        <v>92</v>
      </c>
      <c r="H92" s="23" t="s">
        <v>566</v>
      </c>
      <c r="J92" s="23" t="s">
        <v>567</v>
      </c>
      <c r="K92" s="23" t="s">
        <v>568</v>
      </c>
      <c r="L92" s="23" t="s">
        <v>97</v>
      </c>
      <c r="M92" s="25" t="s">
        <v>98</v>
      </c>
      <c r="Q92" s="23">
        <v>2024</v>
      </c>
      <c r="R92" s="23" t="s">
        <v>132</v>
      </c>
      <c r="T92" s="23" t="s">
        <v>207</v>
      </c>
      <c r="U92" s="23" t="s">
        <v>111</v>
      </c>
      <c r="V92" s="23" t="s">
        <v>112</v>
      </c>
      <c r="W92" s="23" t="s">
        <v>103</v>
      </c>
      <c r="X92" s="23" t="s">
        <v>104</v>
      </c>
      <c r="Y92" s="23" t="b">
        <f t="shared" si="24"/>
        <v>1</v>
      </c>
      <c r="Z92" s="23" t="b">
        <f t="shared" si="25"/>
        <v>0</v>
      </c>
      <c r="AA92" s="23" t="b">
        <f t="shared" si="26"/>
        <v>0</v>
      </c>
      <c r="AB92" s="23" t="b">
        <f t="shared" si="27"/>
        <v>0</v>
      </c>
      <c r="AC92" s="23" t="b">
        <f t="shared" si="28"/>
        <v>0</v>
      </c>
      <c r="AD92" s="23" t="b">
        <f t="shared" si="29"/>
        <v>0</v>
      </c>
      <c r="AE92" s="23" t="b">
        <f t="shared" si="30"/>
        <v>0</v>
      </c>
      <c r="AF92" s="23" t="b">
        <f t="shared" si="31"/>
        <v>0</v>
      </c>
      <c r="AG92" s="23" t="b">
        <f t="shared" si="32"/>
        <v>0</v>
      </c>
      <c r="AH92" s="23" t="b">
        <f t="shared" si="33"/>
        <v>0</v>
      </c>
      <c r="AI92" s="23" t="b">
        <f t="shared" si="34"/>
        <v>0</v>
      </c>
      <c r="AJ92" s="23" t="b">
        <v>0</v>
      </c>
      <c r="AK92" s="23" t="b">
        <f t="shared" si="35"/>
        <v>0</v>
      </c>
      <c r="AL92" s="23" t="b">
        <f t="shared" si="36"/>
        <v>0</v>
      </c>
      <c r="AM92" s="23" t="b">
        <f t="shared" si="37"/>
        <v>0</v>
      </c>
      <c r="AN92" s="23" t="b">
        <f t="shared" si="38"/>
        <v>0</v>
      </c>
      <c r="AO92" s="23" t="b">
        <f t="shared" si="39"/>
        <v>0</v>
      </c>
      <c r="AP92" s="23" t="b">
        <f t="shared" si="40"/>
        <v>1</v>
      </c>
      <c r="AQ92" s="23" t="b">
        <f t="shared" si="41"/>
        <v>0</v>
      </c>
      <c r="AR92" s="23" t="b">
        <f t="shared" si="42"/>
        <v>0</v>
      </c>
      <c r="AS92" s="23" t="b">
        <v>0</v>
      </c>
      <c r="AT92" s="23" t="b">
        <f t="shared" si="43"/>
        <v>0</v>
      </c>
      <c r="AU92" s="23" t="b">
        <f t="shared" si="44"/>
        <v>0</v>
      </c>
      <c r="AV92" s="23" t="b">
        <f t="shared" si="45"/>
        <v>0</v>
      </c>
      <c r="AW92" s="23" t="b">
        <f t="shared" si="46"/>
        <v>0</v>
      </c>
      <c r="AX92" s="23" t="s">
        <v>132</v>
      </c>
      <c r="AY92" s="23" t="b">
        <v>0</v>
      </c>
      <c r="AZ92" s="23" t="s">
        <v>105</v>
      </c>
    </row>
    <row r="93" spans="1:52" x14ac:dyDescent="0.2">
      <c r="A93" s="23">
        <v>140</v>
      </c>
      <c r="B93" s="23" t="s">
        <v>549</v>
      </c>
      <c r="C93" s="23" t="s">
        <v>569</v>
      </c>
      <c r="D93" s="23" t="b">
        <v>1</v>
      </c>
      <c r="E93" s="23" t="s">
        <v>570</v>
      </c>
      <c r="F93" s="23" t="s">
        <v>571</v>
      </c>
      <c r="G93" s="23" t="s">
        <v>92</v>
      </c>
      <c r="H93" s="23" t="s">
        <v>388</v>
      </c>
      <c r="J93" s="23" t="s">
        <v>240</v>
      </c>
      <c r="K93" s="23" t="s">
        <v>572</v>
      </c>
      <c r="L93" s="23" t="s">
        <v>97</v>
      </c>
      <c r="M93" s="25" t="s">
        <v>98</v>
      </c>
      <c r="Q93" s="23">
        <v>2019</v>
      </c>
      <c r="R93" s="23" t="s">
        <v>242</v>
      </c>
      <c r="T93" s="23" t="s">
        <v>207</v>
      </c>
      <c r="U93" s="23" t="s">
        <v>111</v>
      </c>
      <c r="V93" s="23" t="s">
        <v>112</v>
      </c>
      <c r="W93" s="23" t="s">
        <v>103</v>
      </c>
      <c r="X93" s="23" t="s">
        <v>104</v>
      </c>
      <c r="Y93" s="23" t="b">
        <f t="shared" si="24"/>
        <v>1</v>
      </c>
      <c r="Z93" s="23" t="b">
        <f t="shared" si="25"/>
        <v>0</v>
      </c>
      <c r="AA93" s="23" t="b">
        <f t="shared" si="26"/>
        <v>0</v>
      </c>
      <c r="AB93" s="23" t="b">
        <f t="shared" si="27"/>
        <v>0</v>
      </c>
      <c r="AC93" s="23" t="b">
        <f t="shared" si="28"/>
        <v>0</v>
      </c>
      <c r="AD93" s="23" t="b">
        <f t="shared" si="29"/>
        <v>0</v>
      </c>
      <c r="AE93" s="23" t="b">
        <f t="shared" si="30"/>
        <v>0</v>
      </c>
      <c r="AF93" s="23" t="b">
        <f t="shared" si="31"/>
        <v>0</v>
      </c>
      <c r="AG93" s="23" t="b">
        <f t="shared" si="32"/>
        <v>0</v>
      </c>
      <c r="AH93" s="23" t="b">
        <f t="shared" si="33"/>
        <v>0</v>
      </c>
      <c r="AI93" s="23" t="b">
        <f t="shared" si="34"/>
        <v>0</v>
      </c>
      <c r="AJ93" s="23" t="b">
        <v>0</v>
      </c>
      <c r="AK93" s="23" t="b">
        <f t="shared" si="35"/>
        <v>0</v>
      </c>
      <c r="AL93" s="23" t="b">
        <f t="shared" si="36"/>
        <v>0</v>
      </c>
      <c r="AM93" s="23" t="b">
        <f t="shared" si="37"/>
        <v>0</v>
      </c>
      <c r="AN93" s="23" t="b">
        <f t="shared" si="38"/>
        <v>0</v>
      </c>
      <c r="AO93" s="23" t="b">
        <f t="shared" si="39"/>
        <v>0</v>
      </c>
      <c r="AP93" s="23" t="b">
        <f t="shared" si="40"/>
        <v>1</v>
      </c>
      <c r="AQ93" s="23" t="b">
        <f t="shared" si="41"/>
        <v>0</v>
      </c>
      <c r="AR93" s="23" t="b">
        <f t="shared" si="42"/>
        <v>0</v>
      </c>
      <c r="AS93" s="23" t="b">
        <v>0</v>
      </c>
      <c r="AT93" s="23" t="b">
        <f t="shared" si="43"/>
        <v>0</v>
      </c>
      <c r="AU93" s="23" t="b">
        <f t="shared" si="44"/>
        <v>0</v>
      </c>
      <c r="AV93" s="23" t="b">
        <f t="shared" si="45"/>
        <v>0</v>
      </c>
      <c r="AW93" s="23" t="b">
        <f t="shared" si="46"/>
        <v>0</v>
      </c>
      <c r="AX93" s="23" t="s">
        <v>242</v>
      </c>
      <c r="AY93" s="23" t="b">
        <v>1</v>
      </c>
      <c r="AZ93" s="23" t="s">
        <v>105</v>
      </c>
    </row>
    <row r="94" spans="1:52" x14ac:dyDescent="0.2">
      <c r="A94" s="23">
        <v>141</v>
      </c>
      <c r="B94" s="23" t="s">
        <v>549</v>
      </c>
      <c r="C94" s="23" t="s">
        <v>573</v>
      </c>
      <c r="D94" s="23" t="b">
        <v>1</v>
      </c>
      <c r="E94" s="23" t="s">
        <v>574</v>
      </c>
      <c r="F94" s="23" t="s">
        <v>575</v>
      </c>
      <c r="G94" s="23" t="s">
        <v>92</v>
      </c>
      <c r="H94" s="23" t="s">
        <v>529</v>
      </c>
      <c r="I94" s="23" t="s">
        <v>536</v>
      </c>
      <c r="J94" s="23" t="s">
        <v>567</v>
      </c>
      <c r="K94" s="23" t="s">
        <v>118</v>
      </c>
      <c r="L94" s="23" t="s">
        <v>404</v>
      </c>
      <c r="M94" s="23" t="s">
        <v>576</v>
      </c>
      <c r="Q94" s="23">
        <v>2017</v>
      </c>
      <c r="R94" s="23" t="s">
        <v>132</v>
      </c>
      <c r="T94" s="23" t="s">
        <v>243</v>
      </c>
      <c r="U94" s="23" t="s">
        <v>244</v>
      </c>
      <c r="V94" s="23" t="s">
        <v>223</v>
      </c>
      <c r="W94" s="23" t="s">
        <v>103</v>
      </c>
      <c r="X94" s="23" t="s">
        <v>104</v>
      </c>
      <c r="Y94" s="23" t="b">
        <f t="shared" si="24"/>
        <v>0</v>
      </c>
      <c r="Z94" s="23" t="b">
        <f t="shared" si="25"/>
        <v>0</v>
      </c>
      <c r="AA94" s="23" t="b">
        <f t="shared" si="26"/>
        <v>0</v>
      </c>
      <c r="AB94" s="23" t="b">
        <f t="shared" si="27"/>
        <v>0</v>
      </c>
      <c r="AC94" s="23" t="b">
        <f t="shared" si="28"/>
        <v>0</v>
      </c>
      <c r="AD94" s="23" t="b">
        <f t="shared" si="29"/>
        <v>0</v>
      </c>
      <c r="AE94" s="23" t="b">
        <f t="shared" si="30"/>
        <v>0</v>
      </c>
      <c r="AF94" s="23" t="b">
        <f t="shared" si="31"/>
        <v>1</v>
      </c>
      <c r="AG94" s="23" t="b">
        <f t="shared" si="32"/>
        <v>0</v>
      </c>
      <c r="AH94" s="23" t="b">
        <f t="shared" si="33"/>
        <v>0</v>
      </c>
      <c r="AI94" s="23" t="b">
        <f t="shared" si="34"/>
        <v>0</v>
      </c>
      <c r="AJ94" s="23" t="b">
        <v>0</v>
      </c>
      <c r="AK94" s="23" t="b">
        <f t="shared" si="35"/>
        <v>0</v>
      </c>
      <c r="AL94" s="23" t="b">
        <f t="shared" si="36"/>
        <v>0</v>
      </c>
      <c r="AM94" s="23" t="b">
        <f t="shared" si="37"/>
        <v>0</v>
      </c>
      <c r="AN94" s="23" t="b">
        <f t="shared" si="38"/>
        <v>0</v>
      </c>
      <c r="AO94" s="23" t="b">
        <f t="shared" si="39"/>
        <v>0</v>
      </c>
      <c r="AP94" s="23" t="b">
        <f t="shared" si="40"/>
        <v>0</v>
      </c>
      <c r="AQ94" s="23" t="b">
        <f t="shared" si="41"/>
        <v>0</v>
      </c>
      <c r="AR94" s="23" t="b">
        <f t="shared" si="42"/>
        <v>0</v>
      </c>
      <c r="AS94" s="23" t="b">
        <v>0</v>
      </c>
      <c r="AT94" s="23" t="b">
        <f t="shared" si="43"/>
        <v>0</v>
      </c>
      <c r="AU94" s="23" t="b">
        <f t="shared" si="44"/>
        <v>1</v>
      </c>
      <c r="AV94" s="23" t="b">
        <f t="shared" si="45"/>
        <v>0</v>
      </c>
      <c r="AW94" s="23" t="b">
        <f t="shared" si="46"/>
        <v>0</v>
      </c>
      <c r="AX94" s="23" t="s">
        <v>132</v>
      </c>
      <c r="AY94" s="23" t="b">
        <v>0</v>
      </c>
      <c r="AZ94" s="23" t="s">
        <v>105</v>
      </c>
    </row>
    <row r="95" spans="1:52" x14ac:dyDescent="0.2">
      <c r="A95" s="23">
        <v>142</v>
      </c>
      <c r="B95" s="23" t="s">
        <v>549</v>
      </c>
      <c r="C95" s="23" t="s">
        <v>577</v>
      </c>
      <c r="D95" s="23" t="b">
        <v>1</v>
      </c>
      <c r="E95" s="23" t="s">
        <v>578</v>
      </c>
      <c r="F95" s="23" t="s">
        <v>579</v>
      </c>
      <c r="G95" s="23" t="s">
        <v>92</v>
      </c>
      <c r="H95" s="23" t="s">
        <v>580</v>
      </c>
      <c r="J95" s="23" t="s">
        <v>581</v>
      </c>
      <c r="K95" s="23" t="s">
        <v>582</v>
      </c>
      <c r="L95" s="23" t="s">
        <v>97</v>
      </c>
      <c r="M95" s="23" t="s">
        <v>98</v>
      </c>
      <c r="R95" s="23" t="s">
        <v>119</v>
      </c>
      <c r="T95" s="23" t="s">
        <v>243</v>
      </c>
      <c r="U95" s="23" t="s">
        <v>244</v>
      </c>
      <c r="V95" s="23" t="s">
        <v>223</v>
      </c>
      <c r="W95" s="23" t="s">
        <v>103</v>
      </c>
      <c r="X95" s="23" t="s">
        <v>104</v>
      </c>
      <c r="Y95" s="23" t="b">
        <f t="shared" si="24"/>
        <v>1</v>
      </c>
      <c r="Z95" s="23" t="b">
        <f t="shared" si="25"/>
        <v>0</v>
      </c>
      <c r="AA95" s="23" t="b">
        <f t="shared" si="26"/>
        <v>0</v>
      </c>
      <c r="AB95" s="23" t="b">
        <f t="shared" si="27"/>
        <v>0</v>
      </c>
      <c r="AC95" s="23" t="b">
        <f t="shared" si="28"/>
        <v>0</v>
      </c>
      <c r="AD95" s="23" t="b">
        <f t="shared" si="29"/>
        <v>0</v>
      </c>
      <c r="AE95" s="23" t="b">
        <f t="shared" si="30"/>
        <v>0</v>
      </c>
      <c r="AF95" s="23" t="b">
        <f t="shared" si="31"/>
        <v>0</v>
      </c>
      <c r="AG95" s="23" t="b">
        <f t="shared" si="32"/>
        <v>0</v>
      </c>
      <c r="AH95" s="23" t="b">
        <f t="shared" si="33"/>
        <v>0</v>
      </c>
      <c r="AI95" s="23" t="b">
        <f t="shared" si="34"/>
        <v>0</v>
      </c>
      <c r="AJ95" s="23" t="b">
        <v>0</v>
      </c>
      <c r="AK95" s="23" t="b">
        <f t="shared" si="35"/>
        <v>0</v>
      </c>
      <c r="AL95" s="23" t="b">
        <f t="shared" si="36"/>
        <v>0</v>
      </c>
      <c r="AM95" s="23" t="b">
        <f t="shared" si="37"/>
        <v>0</v>
      </c>
      <c r="AN95" s="23" t="b">
        <f t="shared" si="38"/>
        <v>0</v>
      </c>
      <c r="AO95" s="23" t="b">
        <f t="shared" si="39"/>
        <v>0</v>
      </c>
      <c r="AP95" s="23" t="b">
        <f t="shared" si="40"/>
        <v>1</v>
      </c>
      <c r="AQ95" s="23" t="b">
        <f t="shared" si="41"/>
        <v>0</v>
      </c>
      <c r="AR95" s="23" t="b">
        <f t="shared" si="42"/>
        <v>0</v>
      </c>
      <c r="AS95" s="23" t="b">
        <v>0</v>
      </c>
      <c r="AT95" s="23" t="b">
        <f t="shared" si="43"/>
        <v>0</v>
      </c>
      <c r="AU95" s="23" t="b">
        <f t="shared" si="44"/>
        <v>0</v>
      </c>
      <c r="AV95" s="23" t="b">
        <f t="shared" si="45"/>
        <v>0</v>
      </c>
      <c r="AW95" s="23" t="b">
        <f t="shared" si="46"/>
        <v>0</v>
      </c>
      <c r="AX95" s="23" t="s">
        <v>99</v>
      </c>
      <c r="AY95" s="23" t="b">
        <v>0</v>
      </c>
      <c r="AZ95" s="23" t="s">
        <v>105</v>
      </c>
    </row>
    <row r="96" spans="1:52" x14ac:dyDescent="0.2">
      <c r="A96" s="23">
        <v>143</v>
      </c>
      <c r="B96" s="23" t="s">
        <v>549</v>
      </c>
      <c r="C96" s="23" t="s">
        <v>583</v>
      </c>
      <c r="D96" s="23" t="b">
        <v>1</v>
      </c>
      <c r="E96" s="23" t="s">
        <v>584</v>
      </c>
      <c r="F96" s="23" t="s">
        <v>585</v>
      </c>
      <c r="G96" s="23" t="s">
        <v>92</v>
      </c>
      <c r="H96" s="23" t="s">
        <v>580</v>
      </c>
      <c r="J96" s="23" t="s">
        <v>581</v>
      </c>
      <c r="K96" s="23" t="s">
        <v>582</v>
      </c>
      <c r="L96" s="23" t="s">
        <v>97</v>
      </c>
      <c r="M96" s="23" t="s">
        <v>98</v>
      </c>
      <c r="Q96" s="23">
        <v>2018</v>
      </c>
      <c r="R96" s="23" t="s">
        <v>119</v>
      </c>
      <c r="T96" s="23" t="s">
        <v>243</v>
      </c>
      <c r="U96" s="23" t="s">
        <v>244</v>
      </c>
      <c r="V96" s="23" t="s">
        <v>223</v>
      </c>
      <c r="W96" s="23" t="s">
        <v>103</v>
      </c>
      <c r="X96" s="23" t="s">
        <v>104</v>
      </c>
      <c r="Y96" s="23" t="b">
        <f t="shared" si="24"/>
        <v>1</v>
      </c>
      <c r="Z96" s="23" t="b">
        <f t="shared" si="25"/>
        <v>0</v>
      </c>
      <c r="AA96" s="23" t="b">
        <f t="shared" si="26"/>
        <v>0</v>
      </c>
      <c r="AB96" s="23" t="b">
        <f t="shared" si="27"/>
        <v>0</v>
      </c>
      <c r="AC96" s="23" t="b">
        <f t="shared" si="28"/>
        <v>0</v>
      </c>
      <c r="AD96" s="23" t="b">
        <f t="shared" si="29"/>
        <v>0</v>
      </c>
      <c r="AE96" s="23" t="b">
        <f t="shared" si="30"/>
        <v>0</v>
      </c>
      <c r="AF96" s="23" t="b">
        <f t="shared" si="31"/>
        <v>0</v>
      </c>
      <c r="AG96" s="23" t="b">
        <f t="shared" si="32"/>
        <v>0</v>
      </c>
      <c r="AH96" s="23" t="b">
        <f t="shared" si="33"/>
        <v>0</v>
      </c>
      <c r="AI96" s="23" t="b">
        <f t="shared" si="34"/>
        <v>0</v>
      </c>
      <c r="AJ96" s="23" t="b">
        <v>0</v>
      </c>
      <c r="AK96" s="23" t="b">
        <f t="shared" si="35"/>
        <v>0</v>
      </c>
      <c r="AL96" s="23" t="b">
        <f t="shared" si="36"/>
        <v>0</v>
      </c>
      <c r="AM96" s="23" t="b">
        <f t="shared" si="37"/>
        <v>0</v>
      </c>
      <c r="AN96" s="23" t="b">
        <f t="shared" si="38"/>
        <v>0</v>
      </c>
      <c r="AO96" s="23" t="b">
        <f t="shared" si="39"/>
        <v>0</v>
      </c>
      <c r="AP96" s="23" t="b">
        <f t="shared" si="40"/>
        <v>1</v>
      </c>
      <c r="AQ96" s="23" t="b">
        <f t="shared" si="41"/>
        <v>0</v>
      </c>
      <c r="AR96" s="23" t="b">
        <f t="shared" si="42"/>
        <v>0</v>
      </c>
      <c r="AS96" s="23" t="b">
        <v>0</v>
      </c>
      <c r="AT96" s="23" t="b">
        <f t="shared" si="43"/>
        <v>0</v>
      </c>
      <c r="AU96" s="23" t="b">
        <f t="shared" si="44"/>
        <v>0</v>
      </c>
      <c r="AV96" s="23" t="b">
        <f t="shared" si="45"/>
        <v>0</v>
      </c>
      <c r="AW96" s="23" t="b">
        <f t="shared" si="46"/>
        <v>0</v>
      </c>
      <c r="AX96" s="23" t="s">
        <v>99</v>
      </c>
      <c r="AY96" s="23" t="b">
        <v>0</v>
      </c>
      <c r="AZ96" s="23" t="s">
        <v>105</v>
      </c>
    </row>
    <row r="97" spans="1:52" x14ac:dyDescent="0.2">
      <c r="A97" s="23">
        <v>144</v>
      </c>
      <c r="B97" s="23" t="s">
        <v>549</v>
      </c>
      <c r="C97" s="23" t="s">
        <v>586</v>
      </c>
      <c r="D97" s="23" t="b">
        <v>1</v>
      </c>
      <c r="E97" s="23" t="s">
        <v>587</v>
      </c>
      <c r="F97" s="23" t="s">
        <v>588</v>
      </c>
      <c r="G97" s="23" t="s">
        <v>92</v>
      </c>
      <c r="H97" s="23" t="s">
        <v>116</v>
      </c>
      <c r="I97" s="23" t="s">
        <v>589</v>
      </c>
      <c r="J97" s="23" t="s">
        <v>590</v>
      </c>
      <c r="K97" s="23" t="s">
        <v>118</v>
      </c>
      <c r="L97" s="23" t="s">
        <v>97</v>
      </c>
      <c r="M97" s="23" t="s">
        <v>98</v>
      </c>
      <c r="Q97" s="23">
        <v>2018</v>
      </c>
      <c r="R97" s="23" t="s">
        <v>119</v>
      </c>
      <c r="T97" s="23" t="s">
        <v>243</v>
      </c>
      <c r="U97" s="23" t="s">
        <v>244</v>
      </c>
      <c r="V97" s="23" t="s">
        <v>223</v>
      </c>
      <c r="W97" s="23" t="s">
        <v>121</v>
      </c>
      <c r="X97" s="23" t="s">
        <v>104</v>
      </c>
      <c r="Y97" s="23" t="b">
        <f t="shared" si="24"/>
        <v>1</v>
      </c>
      <c r="Z97" s="23" t="b">
        <f t="shared" si="25"/>
        <v>0</v>
      </c>
      <c r="AA97" s="23" t="b">
        <f t="shared" si="26"/>
        <v>0</v>
      </c>
      <c r="AB97" s="23" t="b">
        <f t="shared" si="27"/>
        <v>0</v>
      </c>
      <c r="AC97" s="23" t="b">
        <f t="shared" si="28"/>
        <v>0</v>
      </c>
      <c r="AD97" s="23" t="b">
        <f t="shared" si="29"/>
        <v>0</v>
      </c>
      <c r="AE97" s="23" t="b">
        <f t="shared" si="30"/>
        <v>0</v>
      </c>
      <c r="AF97" s="23" t="b">
        <f t="shared" si="31"/>
        <v>0</v>
      </c>
      <c r="AG97" s="23" t="b">
        <f t="shared" si="32"/>
        <v>0</v>
      </c>
      <c r="AH97" s="23" t="b">
        <f t="shared" si="33"/>
        <v>0</v>
      </c>
      <c r="AI97" s="23" t="b">
        <f t="shared" si="34"/>
        <v>0</v>
      </c>
      <c r="AJ97" s="23" t="b">
        <v>0</v>
      </c>
      <c r="AK97" s="23" t="b">
        <f t="shared" si="35"/>
        <v>0</v>
      </c>
      <c r="AL97" s="23" t="b">
        <f t="shared" si="36"/>
        <v>0</v>
      </c>
      <c r="AM97" s="23" t="b">
        <f t="shared" si="37"/>
        <v>0</v>
      </c>
      <c r="AN97" s="23" t="b">
        <f t="shared" si="38"/>
        <v>0</v>
      </c>
      <c r="AO97" s="23" t="b">
        <f t="shared" si="39"/>
        <v>0</v>
      </c>
      <c r="AP97" s="23" t="b">
        <f t="shared" si="40"/>
        <v>1</v>
      </c>
      <c r="AQ97" s="23" t="b">
        <f t="shared" si="41"/>
        <v>0</v>
      </c>
      <c r="AR97" s="23" t="b">
        <f t="shared" si="42"/>
        <v>0</v>
      </c>
      <c r="AS97" s="23" t="b">
        <v>0</v>
      </c>
      <c r="AT97" s="23" t="b">
        <f t="shared" si="43"/>
        <v>0</v>
      </c>
      <c r="AU97" s="23" t="b">
        <f t="shared" si="44"/>
        <v>0</v>
      </c>
      <c r="AV97" s="23" t="b">
        <f t="shared" si="45"/>
        <v>0</v>
      </c>
      <c r="AW97" s="23" t="b">
        <f t="shared" si="46"/>
        <v>0</v>
      </c>
      <c r="AX97" s="23" t="s">
        <v>99</v>
      </c>
      <c r="AY97" s="23" t="b">
        <v>0</v>
      </c>
      <c r="AZ97" s="23" t="s">
        <v>105</v>
      </c>
    </row>
    <row r="98" spans="1:52" x14ac:dyDescent="0.2">
      <c r="A98" s="23">
        <v>145</v>
      </c>
      <c r="B98" s="23" t="s">
        <v>549</v>
      </c>
      <c r="C98" s="23" t="s">
        <v>591</v>
      </c>
      <c r="D98" s="23" t="b">
        <v>1</v>
      </c>
      <c r="E98" s="23" t="s">
        <v>592</v>
      </c>
      <c r="F98" s="23" t="s">
        <v>588</v>
      </c>
      <c r="G98" s="23" t="s">
        <v>92</v>
      </c>
      <c r="H98" s="23" t="s">
        <v>116</v>
      </c>
      <c r="I98" s="23" t="s">
        <v>593</v>
      </c>
      <c r="J98" s="23" t="s">
        <v>95</v>
      </c>
      <c r="K98" s="23" t="s">
        <v>118</v>
      </c>
      <c r="L98" s="23" t="s">
        <v>97</v>
      </c>
      <c r="M98" s="23" t="s">
        <v>98</v>
      </c>
      <c r="Q98" s="23">
        <v>2018</v>
      </c>
      <c r="R98" s="23" t="s">
        <v>119</v>
      </c>
      <c r="T98" s="23" t="s">
        <v>243</v>
      </c>
      <c r="U98" s="23" t="s">
        <v>244</v>
      </c>
      <c r="V98" s="23" t="s">
        <v>223</v>
      </c>
      <c r="W98" s="23" t="s">
        <v>121</v>
      </c>
      <c r="X98" s="23" t="s">
        <v>104</v>
      </c>
      <c r="Y98" s="23" t="b">
        <f t="shared" si="24"/>
        <v>1</v>
      </c>
      <c r="Z98" s="23" t="b">
        <f t="shared" si="25"/>
        <v>0</v>
      </c>
      <c r="AA98" s="23" t="b">
        <f t="shared" si="26"/>
        <v>0</v>
      </c>
      <c r="AB98" s="23" t="b">
        <f t="shared" si="27"/>
        <v>0</v>
      </c>
      <c r="AC98" s="23" t="b">
        <f t="shared" si="28"/>
        <v>0</v>
      </c>
      <c r="AD98" s="23" t="b">
        <f t="shared" si="29"/>
        <v>0</v>
      </c>
      <c r="AE98" s="23" t="b">
        <f t="shared" si="30"/>
        <v>0</v>
      </c>
      <c r="AF98" s="23" t="b">
        <f t="shared" si="31"/>
        <v>0</v>
      </c>
      <c r="AG98" s="23" t="b">
        <f t="shared" si="32"/>
        <v>0</v>
      </c>
      <c r="AH98" s="23" t="b">
        <f t="shared" si="33"/>
        <v>0</v>
      </c>
      <c r="AI98" s="23" t="b">
        <f t="shared" si="34"/>
        <v>0</v>
      </c>
      <c r="AJ98" s="23" t="b">
        <v>0</v>
      </c>
      <c r="AK98" s="23" t="b">
        <f t="shared" si="35"/>
        <v>0</v>
      </c>
      <c r="AL98" s="23" t="b">
        <f t="shared" si="36"/>
        <v>0</v>
      </c>
      <c r="AM98" s="23" t="b">
        <f t="shared" si="37"/>
        <v>0</v>
      </c>
      <c r="AN98" s="23" t="b">
        <f t="shared" si="38"/>
        <v>0</v>
      </c>
      <c r="AO98" s="23" t="b">
        <f t="shared" si="39"/>
        <v>0</v>
      </c>
      <c r="AP98" s="23" t="b">
        <f t="shared" si="40"/>
        <v>1</v>
      </c>
      <c r="AQ98" s="23" t="b">
        <f t="shared" si="41"/>
        <v>0</v>
      </c>
      <c r="AR98" s="23" t="b">
        <f t="shared" si="42"/>
        <v>0</v>
      </c>
      <c r="AS98" s="23" t="b">
        <v>0</v>
      </c>
      <c r="AT98" s="23" t="b">
        <f t="shared" si="43"/>
        <v>0</v>
      </c>
      <c r="AU98" s="23" t="b">
        <f t="shared" si="44"/>
        <v>0</v>
      </c>
      <c r="AV98" s="23" t="b">
        <f t="shared" si="45"/>
        <v>0</v>
      </c>
      <c r="AW98" s="23" t="b">
        <f t="shared" si="46"/>
        <v>0</v>
      </c>
      <c r="AX98" s="23" t="s">
        <v>99</v>
      </c>
      <c r="AY98" s="23" t="b">
        <v>0</v>
      </c>
      <c r="AZ98" s="23" t="s">
        <v>105</v>
      </c>
    </row>
    <row r="99" spans="1:52" x14ac:dyDescent="0.2">
      <c r="A99" s="23">
        <v>146</v>
      </c>
      <c r="B99" s="23" t="s">
        <v>549</v>
      </c>
      <c r="C99" s="23" t="s">
        <v>594</v>
      </c>
      <c r="D99" s="23" t="b">
        <v>1</v>
      </c>
      <c r="E99" s="23" t="s">
        <v>595</v>
      </c>
      <c r="F99" s="23" t="s">
        <v>596</v>
      </c>
      <c r="G99" s="23" t="s">
        <v>92</v>
      </c>
      <c r="H99" s="23" t="s">
        <v>116</v>
      </c>
      <c r="I99" s="23" t="s">
        <v>597</v>
      </c>
      <c r="J99" s="23" t="s">
        <v>598</v>
      </c>
      <c r="K99" s="23" t="s">
        <v>118</v>
      </c>
      <c r="L99" s="23" t="s">
        <v>97</v>
      </c>
      <c r="M99" s="23" t="s">
        <v>98</v>
      </c>
      <c r="Q99" s="23">
        <v>2018</v>
      </c>
      <c r="R99" s="23" t="s">
        <v>119</v>
      </c>
      <c r="T99" s="23" t="s">
        <v>243</v>
      </c>
      <c r="U99" s="23" t="s">
        <v>244</v>
      </c>
      <c r="V99" s="23" t="s">
        <v>223</v>
      </c>
      <c r="W99" s="23" t="s">
        <v>121</v>
      </c>
      <c r="X99" s="23" t="s">
        <v>104</v>
      </c>
      <c r="Y99" s="23" t="b">
        <f t="shared" si="24"/>
        <v>1</v>
      </c>
      <c r="Z99" s="23" t="b">
        <f t="shared" si="25"/>
        <v>0</v>
      </c>
      <c r="AA99" s="23" t="b">
        <f t="shared" si="26"/>
        <v>0</v>
      </c>
      <c r="AB99" s="23" t="b">
        <f t="shared" si="27"/>
        <v>0</v>
      </c>
      <c r="AC99" s="23" t="b">
        <f t="shared" si="28"/>
        <v>0</v>
      </c>
      <c r="AD99" s="23" t="b">
        <f t="shared" si="29"/>
        <v>0</v>
      </c>
      <c r="AE99" s="23" t="b">
        <f t="shared" si="30"/>
        <v>0</v>
      </c>
      <c r="AF99" s="23" t="b">
        <f t="shared" si="31"/>
        <v>0</v>
      </c>
      <c r="AG99" s="23" t="b">
        <f t="shared" si="32"/>
        <v>0</v>
      </c>
      <c r="AH99" s="23" t="b">
        <f t="shared" si="33"/>
        <v>0</v>
      </c>
      <c r="AI99" s="23" t="b">
        <f t="shared" si="34"/>
        <v>0</v>
      </c>
      <c r="AJ99" s="23" t="b">
        <v>0</v>
      </c>
      <c r="AK99" s="23" t="b">
        <f t="shared" si="35"/>
        <v>0</v>
      </c>
      <c r="AL99" s="23" t="b">
        <f t="shared" si="36"/>
        <v>0</v>
      </c>
      <c r="AM99" s="23" t="b">
        <f t="shared" si="37"/>
        <v>0</v>
      </c>
      <c r="AN99" s="23" t="b">
        <f t="shared" si="38"/>
        <v>0</v>
      </c>
      <c r="AO99" s="23" t="b">
        <f t="shared" si="39"/>
        <v>0</v>
      </c>
      <c r="AP99" s="23" t="b">
        <f t="shared" si="40"/>
        <v>1</v>
      </c>
      <c r="AQ99" s="23" t="b">
        <f t="shared" si="41"/>
        <v>0</v>
      </c>
      <c r="AR99" s="23" t="b">
        <f t="shared" si="42"/>
        <v>0</v>
      </c>
      <c r="AS99" s="23" t="b">
        <v>0</v>
      </c>
      <c r="AT99" s="23" t="b">
        <f t="shared" si="43"/>
        <v>0</v>
      </c>
      <c r="AU99" s="23" t="b">
        <f t="shared" si="44"/>
        <v>0</v>
      </c>
      <c r="AV99" s="23" t="b">
        <f t="shared" si="45"/>
        <v>0</v>
      </c>
      <c r="AW99" s="23" t="b">
        <f t="shared" si="46"/>
        <v>0</v>
      </c>
      <c r="AX99" s="23" t="s">
        <v>99</v>
      </c>
      <c r="AY99" s="23" t="b">
        <v>0</v>
      </c>
      <c r="AZ99" s="23" t="s">
        <v>105</v>
      </c>
    </row>
    <row r="100" spans="1:52" x14ac:dyDescent="0.2">
      <c r="A100" s="23">
        <v>147</v>
      </c>
      <c r="B100" s="23" t="s">
        <v>549</v>
      </c>
      <c r="C100" s="23" t="s">
        <v>599</v>
      </c>
      <c r="D100" s="23" t="b">
        <v>1</v>
      </c>
      <c r="E100" s="23" t="s">
        <v>600</v>
      </c>
      <c r="F100" s="23" t="s">
        <v>601</v>
      </c>
      <c r="G100" s="23" t="s">
        <v>92</v>
      </c>
      <c r="H100" s="23" t="s">
        <v>116</v>
      </c>
      <c r="I100" s="23" t="s">
        <v>602</v>
      </c>
      <c r="J100" s="23" t="s">
        <v>567</v>
      </c>
      <c r="K100" s="23" t="s">
        <v>118</v>
      </c>
      <c r="L100" s="23" t="s">
        <v>97</v>
      </c>
      <c r="M100" s="23" t="s">
        <v>98</v>
      </c>
      <c r="Q100" s="23">
        <v>2018</v>
      </c>
      <c r="R100" s="23" t="s">
        <v>119</v>
      </c>
      <c r="T100" s="23" t="s">
        <v>243</v>
      </c>
      <c r="U100" s="23" t="s">
        <v>244</v>
      </c>
      <c r="V100" s="23" t="s">
        <v>223</v>
      </c>
      <c r="W100" s="23" t="s">
        <v>121</v>
      </c>
      <c r="X100" s="23" t="s">
        <v>104</v>
      </c>
      <c r="Y100" s="23" t="b">
        <f t="shared" si="24"/>
        <v>1</v>
      </c>
      <c r="Z100" s="23" t="b">
        <f t="shared" si="25"/>
        <v>0</v>
      </c>
      <c r="AA100" s="23" t="b">
        <f t="shared" si="26"/>
        <v>0</v>
      </c>
      <c r="AB100" s="23" t="b">
        <f t="shared" si="27"/>
        <v>0</v>
      </c>
      <c r="AC100" s="23" t="b">
        <f t="shared" si="28"/>
        <v>0</v>
      </c>
      <c r="AD100" s="23" t="b">
        <f t="shared" si="29"/>
        <v>0</v>
      </c>
      <c r="AE100" s="23" t="b">
        <f t="shared" si="30"/>
        <v>0</v>
      </c>
      <c r="AF100" s="23" t="b">
        <f t="shared" si="31"/>
        <v>0</v>
      </c>
      <c r="AG100" s="23" t="b">
        <f t="shared" si="32"/>
        <v>0</v>
      </c>
      <c r="AH100" s="23" t="b">
        <f t="shared" si="33"/>
        <v>0</v>
      </c>
      <c r="AI100" s="23" t="b">
        <f t="shared" si="34"/>
        <v>0</v>
      </c>
      <c r="AJ100" s="23" t="b">
        <v>0</v>
      </c>
      <c r="AK100" s="23" t="b">
        <f t="shared" si="35"/>
        <v>0</v>
      </c>
      <c r="AL100" s="23" t="b">
        <f t="shared" si="36"/>
        <v>0</v>
      </c>
      <c r="AM100" s="23" t="b">
        <f t="shared" si="37"/>
        <v>0</v>
      </c>
      <c r="AN100" s="23" t="b">
        <f t="shared" si="38"/>
        <v>0</v>
      </c>
      <c r="AO100" s="23" t="b">
        <f t="shared" si="39"/>
        <v>0</v>
      </c>
      <c r="AP100" s="23" t="b">
        <f t="shared" si="40"/>
        <v>1</v>
      </c>
      <c r="AQ100" s="23" t="b">
        <f t="shared" si="41"/>
        <v>0</v>
      </c>
      <c r="AR100" s="23" t="b">
        <f t="shared" si="42"/>
        <v>0</v>
      </c>
      <c r="AS100" s="23" t="b">
        <v>0</v>
      </c>
      <c r="AT100" s="23" t="b">
        <f t="shared" si="43"/>
        <v>0</v>
      </c>
      <c r="AU100" s="23" t="b">
        <f t="shared" si="44"/>
        <v>0</v>
      </c>
      <c r="AV100" s="23" t="b">
        <f t="shared" si="45"/>
        <v>0</v>
      </c>
      <c r="AW100" s="23" t="b">
        <f t="shared" si="46"/>
        <v>0</v>
      </c>
      <c r="AX100" s="23" t="s">
        <v>99</v>
      </c>
      <c r="AY100" s="23" t="b">
        <v>0</v>
      </c>
      <c r="AZ100" s="23" t="s">
        <v>105</v>
      </c>
    </row>
    <row r="101" spans="1:52" x14ac:dyDescent="0.2">
      <c r="A101" s="23">
        <v>148</v>
      </c>
      <c r="B101" s="23" t="s">
        <v>549</v>
      </c>
      <c r="C101" s="23" t="s">
        <v>603</v>
      </c>
      <c r="D101" s="23" t="b">
        <v>1</v>
      </c>
      <c r="E101" s="23" t="s">
        <v>604</v>
      </c>
      <c r="F101" s="23" t="s">
        <v>605</v>
      </c>
      <c r="G101" s="23" t="s">
        <v>92</v>
      </c>
      <c r="H101" s="23" t="s">
        <v>116</v>
      </c>
      <c r="I101" s="23" t="s">
        <v>606</v>
      </c>
      <c r="J101" s="23" t="s">
        <v>607</v>
      </c>
      <c r="K101" s="23" t="s">
        <v>118</v>
      </c>
      <c r="L101" s="23" t="s">
        <v>97</v>
      </c>
      <c r="M101" s="23" t="s">
        <v>98</v>
      </c>
      <c r="Q101" s="23">
        <v>2018</v>
      </c>
      <c r="R101" s="23" t="s">
        <v>119</v>
      </c>
      <c r="T101" s="23" t="s">
        <v>243</v>
      </c>
      <c r="U101" s="23" t="s">
        <v>244</v>
      </c>
      <c r="V101" s="23" t="s">
        <v>223</v>
      </c>
      <c r="W101" s="23" t="s">
        <v>121</v>
      </c>
      <c r="X101" s="23" t="s">
        <v>104</v>
      </c>
      <c r="Y101" s="23" t="b">
        <f t="shared" si="24"/>
        <v>1</v>
      </c>
      <c r="Z101" s="23" t="b">
        <f t="shared" si="25"/>
        <v>0</v>
      </c>
      <c r="AA101" s="23" t="b">
        <f t="shared" si="26"/>
        <v>0</v>
      </c>
      <c r="AB101" s="23" t="b">
        <f t="shared" si="27"/>
        <v>0</v>
      </c>
      <c r="AC101" s="23" t="b">
        <f t="shared" si="28"/>
        <v>0</v>
      </c>
      <c r="AD101" s="23" t="b">
        <f t="shared" si="29"/>
        <v>0</v>
      </c>
      <c r="AE101" s="23" t="b">
        <f t="shared" si="30"/>
        <v>0</v>
      </c>
      <c r="AF101" s="23" t="b">
        <f t="shared" si="31"/>
        <v>0</v>
      </c>
      <c r="AG101" s="23" t="b">
        <f t="shared" si="32"/>
        <v>0</v>
      </c>
      <c r="AH101" s="23" t="b">
        <f t="shared" si="33"/>
        <v>0</v>
      </c>
      <c r="AI101" s="23" t="b">
        <f t="shared" si="34"/>
        <v>0</v>
      </c>
      <c r="AJ101" s="23" t="b">
        <v>0</v>
      </c>
      <c r="AK101" s="23" t="b">
        <f t="shared" si="35"/>
        <v>0</v>
      </c>
      <c r="AL101" s="23" t="b">
        <f t="shared" si="36"/>
        <v>0</v>
      </c>
      <c r="AM101" s="23" t="b">
        <f t="shared" si="37"/>
        <v>0</v>
      </c>
      <c r="AN101" s="23" t="b">
        <f t="shared" si="38"/>
        <v>0</v>
      </c>
      <c r="AO101" s="23" t="b">
        <f t="shared" si="39"/>
        <v>0</v>
      </c>
      <c r="AP101" s="23" t="b">
        <f t="shared" si="40"/>
        <v>1</v>
      </c>
      <c r="AQ101" s="23" t="b">
        <f t="shared" si="41"/>
        <v>0</v>
      </c>
      <c r="AR101" s="23" t="b">
        <f t="shared" si="42"/>
        <v>0</v>
      </c>
      <c r="AS101" s="23" t="b">
        <v>0</v>
      </c>
      <c r="AT101" s="23" t="b">
        <f t="shared" si="43"/>
        <v>0</v>
      </c>
      <c r="AU101" s="23" t="b">
        <f t="shared" si="44"/>
        <v>0</v>
      </c>
      <c r="AV101" s="23" t="b">
        <f t="shared" si="45"/>
        <v>0</v>
      </c>
      <c r="AW101" s="23" t="b">
        <f t="shared" si="46"/>
        <v>0</v>
      </c>
      <c r="AX101" s="23" t="s">
        <v>99</v>
      </c>
      <c r="AY101" s="23" t="b">
        <v>0</v>
      </c>
      <c r="AZ101" s="23" t="s">
        <v>105</v>
      </c>
    </row>
    <row r="102" spans="1:52" x14ac:dyDescent="0.2">
      <c r="A102" s="23">
        <v>149</v>
      </c>
      <c r="B102" s="23" t="s">
        <v>852</v>
      </c>
      <c r="C102" s="23" t="s">
        <v>608</v>
      </c>
      <c r="D102" s="23" t="b">
        <v>1</v>
      </c>
      <c r="E102" s="23" t="s">
        <v>609</v>
      </c>
      <c r="F102" s="23" t="s">
        <v>610</v>
      </c>
      <c r="G102" s="23" t="s">
        <v>611</v>
      </c>
      <c r="H102" s="23" t="s">
        <v>116</v>
      </c>
      <c r="I102" s="23" t="s">
        <v>612</v>
      </c>
      <c r="J102" s="23" t="s">
        <v>95</v>
      </c>
      <c r="K102" s="23" t="s">
        <v>118</v>
      </c>
      <c r="L102" s="23" t="s">
        <v>97</v>
      </c>
      <c r="Q102" s="23">
        <v>2022</v>
      </c>
      <c r="R102" s="23" t="s">
        <v>119</v>
      </c>
      <c r="T102" s="23" t="s">
        <v>613</v>
      </c>
      <c r="U102" s="23" t="s">
        <v>244</v>
      </c>
      <c r="V102" s="23" t="s">
        <v>223</v>
      </c>
      <c r="W102" s="23" t="s">
        <v>121</v>
      </c>
      <c r="X102" s="23" t="s">
        <v>104</v>
      </c>
      <c r="Y102" s="23" t="b">
        <f t="shared" si="24"/>
        <v>0</v>
      </c>
      <c r="Z102" s="23" t="b">
        <f t="shared" si="25"/>
        <v>0</v>
      </c>
      <c r="AA102" s="23" t="b">
        <f t="shared" si="26"/>
        <v>0</v>
      </c>
      <c r="AB102" s="23" t="b">
        <f t="shared" si="27"/>
        <v>0</v>
      </c>
      <c r="AC102" s="23" t="b">
        <f t="shared" si="28"/>
        <v>0</v>
      </c>
      <c r="AD102" s="23" t="b">
        <f t="shared" si="29"/>
        <v>0</v>
      </c>
      <c r="AE102" s="23" t="b">
        <f t="shared" si="30"/>
        <v>0</v>
      </c>
      <c r="AF102" s="23" t="b">
        <f t="shared" si="31"/>
        <v>0</v>
      </c>
      <c r="AG102" s="23" t="b">
        <f t="shared" si="32"/>
        <v>0</v>
      </c>
      <c r="AH102" s="23" t="b">
        <f t="shared" si="33"/>
        <v>0</v>
      </c>
      <c r="AI102" s="23" t="b">
        <f t="shared" si="34"/>
        <v>0</v>
      </c>
      <c r="AJ102" s="23" t="b">
        <v>0</v>
      </c>
      <c r="AK102" s="23" t="b">
        <f t="shared" si="35"/>
        <v>0</v>
      </c>
      <c r="AL102" s="23" t="b">
        <f t="shared" si="36"/>
        <v>0</v>
      </c>
      <c r="AM102" s="23" t="b">
        <f t="shared" si="37"/>
        <v>0</v>
      </c>
      <c r="AN102" s="23" t="b">
        <f t="shared" si="38"/>
        <v>0</v>
      </c>
      <c r="AO102" s="23" t="b">
        <f t="shared" si="39"/>
        <v>0</v>
      </c>
      <c r="AP102" s="23" t="b">
        <f t="shared" si="40"/>
        <v>1</v>
      </c>
      <c r="AQ102" s="23" t="b">
        <f t="shared" si="41"/>
        <v>0</v>
      </c>
      <c r="AR102" s="23" t="b">
        <f t="shared" si="42"/>
        <v>0</v>
      </c>
      <c r="AS102" s="23" t="b">
        <v>0</v>
      </c>
      <c r="AT102" s="23" t="b">
        <f t="shared" si="43"/>
        <v>0</v>
      </c>
      <c r="AU102" s="23" t="b">
        <f t="shared" si="44"/>
        <v>0</v>
      </c>
      <c r="AV102" s="23" t="b">
        <f t="shared" si="45"/>
        <v>0</v>
      </c>
      <c r="AW102" s="23" t="b">
        <f t="shared" si="46"/>
        <v>0</v>
      </c>
      <c r="AX102" s="23" t="s">
        <v>99</v>
      </c>
      <c r="AY102" s="23" t="b">
        <v>0</v>
      </c>
      <c r="AZ102" s="23" t="s">
        <v>105</v>
      </c>
    </row>
    <row r="103" spans="1:52" x14ac:dyDescent="0.2">
      <c r="A103" s="23">
        <v>150</v>
      </c>
      <c r="B103" s="23" t="s">
        <v>852</v>
      </c>
      <c r="C103" s="23" t="s">
        <v>608</v>
      </c>
      <c r="D103" s="23" t="b">
        <v>1</v>
      </c>
      <c r="E103" s="23" t="s">
        <v>614</v>
      </c>
      <c r="F103" s="23" t="s">
        <v>615</v>
      </c>
      <c r="G103" s="23" t="s">
        <v>92</v>
      </c>
      <c r="H103" s="23" t="s">
        <v>116</v>
      </c>
      <c r="I103" s="23" t="s">
        <v>616</v>
      </c>
      <c r="J103" s="23" t="s">
        <v>95</v>
      </c>
      <c r="K103" s="23" t="s">
        <v>118</v>
      </c>
      <c r="L103" s="23" t="s">
        <v>97</v>
      </c>
      <c r="Q103" s="23">
        <v>2022</v>
      </c>
      <c r="R103" s="23" t="s">
        <v>119</v>
      </c>
      <c r="T103" s="23" t="s">
        <v>617</v>
      </c>
      <c r="U103" s="23" t="s">
        <v>244</v>
      </c>
      <c r="V103" s="23" t="s">
        <v>223</v>
      </c>
      <c r="W103" s="23" t="s">
        <v>121</v>
      </c>
      <c r="X103" s="23" t="s">
        <v>104</v>
      </c>
      <c r="Y103" s="23" t="b">
        <f t="shared" si="24"/>
        <v>0</v>
      </c>
      <c r="Z103" s="23" t="b">
        <f t="shared" si="25"/>
        <v>0</v>
      </c>
      <c r="AA103" s="23" t="b">
        <f t="shared" si="26"/>
        <v>0</v>
      </c>
      <c r="AB103" s="23" t="b">
        <f t="shared" si="27"/>
        <v>0</v>
      </c>
      <c r="AC103" s="23" t="b">
        <f t="shared" si="28"/>
        <v>0</v>
      </c>
      <c r="AD103" s="23" t="b">
        <f t="shared" si="29"/>
        <v>0</v>
      </c>
      <c r="AE103" s="23" t="b">
        <f t="shared" si="30"/>
        <v>0</v>
      </c>
      <c r="AF103" s="23" t="b">
        <f t="shared" si="31"/>
        <v>0</v>
      </c>
      <c r="AG103" s="23" t="b">
        <f t="shared" si="32"/>
        <v>0</v>
      </c>
      <c r="AH103" s="23" t="b">
        <f t="shared" si="33"/>
        <v>0</v>
      </c>
      <c r="AI103" s="23" t="b">
        <f t="shared" si="34"/>
        <v>0</v>
      </c>
      <c r="AJ103" s="23" t="b">
        <v>0</v>
      </c>
      <c r="AK103" s="23" t="b">
        <f t="shared" si="35"/>
        <v>0</v>
      </c>
      <c r="AL103" s="23" t="b">
        <f t="shared" si="36"/>
        <v>0</v>
      </c>
      <c r="AM103" s="23" t="b">
        <f t="shared" si="37"/>
        <v>0</v>
      </c>
      <c r="AN103" s="23" t="b">
        <f t="shared" si="38"/>
        <v>0</v>
      </c>
      <c r="AO103" s="23" t="b">
        <f t="shared" si="39"/>
        <v>0</v>
      </c>
      <c r="AP103" s="23" t="b">
        <f t="shared" si="40"/>
        <v>1</v>
      </c>
      <c r="AQ103" s="23" t="b">
        <f t="shared" si="41"/>
        <v>0</v>
      </c>
      <c r="AR103" s="23" t="b">
        <f t="shared" si="42"/>
        <v>0</v>
      </c>
      <c r="AS103" s="23" t="b">
        <v>0</v>
      </c>
      <c r="AT103" s="23" t="b">
        <f t="shared" si="43"/>
        <v>0</v>
      </c>
      <c r="AU103" s="23" t="b">
        <f t="shared" si="44"/>
        <v>0</v>
      </c>
      <c r="AV103" s="23" t="b">
        <f t="shared" si="45"/>
        <v>0</v>
      </c>
      <c r="AW103" s="23" t="b">
        <f t="shared" si="46"/>
        <v>0</v>
      </c>
      <c r="AX103" s="23" t="s">
        <v>99</v>
      </c>
      <c r="AY103" s="23" t="b">
        <v>0</v>
      </c>
      <c r="AZ103" s="23" t="s">
        <v>105</v>
      </c>
    </row>
    <row r="104" spans="1:52" x14ac:dyDescent="0.2">
      <c r="A104" s="23">
        <v>151</v>
      </c>
      <c r="B104" s="23" t="s">
        <v>549</v>
      </c>
      <c r="C104" s="23" t="s">
        <v>618</v>
      </c>
      <c r="D104" s="23" t="b">
        <v>1</v>
      </c>
      <c r="E104" s="23" t="s">
        <v>619</v>
      </c>
      <c r="F104" s="23" t="s">
        <v>620</v>
      </c>
      <c r="G104" s="23" t="s">
        <v>92</v>
      </c>
      <c r="H104" s="23" t="s">
        <v>116</v>
      </c>
      <c r="I104" s="23" t="s">
        <v>621</v>
      </c>
      <c r="J104" s="23" t="s">
        <v>95</v>
      </c>
      <c r="K104" s="23" t="s">
        <v>118</v>
      </c>
      <c r="L104" s="23" t="s">
        <v>97</v>
      </c>
      <c r="Q104" s="23">
        <v>2022</v>
      </c>
      <c r="R104" s="23" t="s">
        <v>119</v>
      </c>
      <c r="T104" s="23" t="s">
        <v>622</v>
      </c>
      <c r="U104" s="23" t="s">
        <v>244</v>
      </c>
      <c r="V104" s="23" t="s">
        <v>223</v>
      </c>
      <c r="W104" s="23" t="s">
        <v>103</v>
      </c>
      <c r="X104" s="23" t="s">
        <v>104</v>
      </c>
      <c r="Y104" s="23" t="b">
        <f t="shared" si="24"/>
        <v>0</v>
      </c>
      <c r="Z104" s="23" t="b">
        <f t="shared" si="25"/>
        <v>0</v>
      </c>
      <c r="AA104" s="23" t="b">
        <f t="shared" si="26"/>
        <v>0</v>
      </c>
      <c r="AB104" s="23" t="b">
        <f t="shared" si="27"/>
        <v>0</v>
      </c>
      <c r="AC104" s="23" t="b">
        <f t="shared" si="28"/>
        <v>0</v>
      </c>
      <c r="AD104" s="23" t="b">
        <f t="shared" si="29"/>
        <v>0</v>
      </c>
      <c r="AE104" s="23" t="b">
        <f t="shared" si="30"/>
        <v>0</v>
      </c>
      <c r="AF104" s="23" t="b">
        <f t="shared" si="31"/>
        <v>0</v>
      </c>
      <c r="AG104" s="23" t="b">
        <f t="shared" si="32"/>
        <v>0</v>
      </c>
      <c r="AH104" s="23" t="b">
        <f t="shared" si="33"/>
        <v>0</v>
      </c>
      <c r="AI104" s="23" t="b">
        <f t="shared" si="34"/>
        <v>0</v>
      </c>
      <c r="AJ104" s="23" t="b">
        <v>0</v>
      </c>
      <c r="AK104" s="23" t="b">
        <f t="shared" si="35"/>
        <v>0</v>
      </c>
      <c r="AL104" s="23" t="b">
        <f t="shared" si="36"/>
        <v>0</v>
      </c>
      <c r="AM104" s="23" t="b">
        <f t="shared" si="37"/>
        <v>0</v>
      </c>
      <c r="AN104" s="23" t="b">
        <f t="shared" si="38"/>
        <v>0</v>
      </c>
      <c r="AO104" s="23" t="b">
        <f t="shared" si="39"/>
        <v>0</v>
      </c>
      <c r="AP104" s="23" t="b">
        <f t="shared" si="40"/>
        <v>1</v>
      </c>
      <c r="AQ104" s="23" t="b">
        <f t="shared" si="41"/>
        <v>0</v>
      </c>
      <c r="AR104" s="23" t="b">
        <f t="shared" si="42"/>
        <v>0</v>
      </c>
      <c r="AS104" s="23" t="b">
        <v>0</v>
      </c>
      <c r="AT104" s="23" t="b">
        <f t="shared" si="43"/>
        <v>0</v>
      </c>
      <c r="AU104" s="23" t="b">
        <f t="shared" si="44"/>
        <v>0</v>
      </c>
      <c r="AV104" s="23" t="b">
        <f t="shared" si="45"/>
        <v>0</v>
      </c>
      <c r="AW104" s="23" t="b">
        <f t="shared" si="46"/>
        <v>0</v>
      </c>
      <c r="AX104" s="23" t="s">
        <v>99</v>
      </c>
      <c r="AY104" s="23" t="b">
        <v>0</v>
      </c>
      <c r="AZ104" s="23" t="s">
        <v>105</v>
      </c>
    </row>
    <row r="105" spans="1:52" x14ac:dyDescent="0.2">
      <c r="A105" s="23">
        <v>152</v>
      </c>
      <c r="B105" s="23" t="s">
        <v>549</v>
      </c>
      <c r="C105" s="23" t="s">
        <v>623</v>
      </c>
      <c r="D105" s="23" t="b">
        <v>1</v>
      </c>
      <c r="E105" s="23" t="s">
        <v>624</v>
      </c>
      <c r="F105" s="23" t="s">
        <v>625</v>
      </c>
      <c r="G105" s="23" t="s">
        <v>92</v>
      </c>
      <c r="H105" s="23" t="s">
        <v>116</v>
      </c>
      <c r="I105" s="23" t="s">
        <v>626</v>
      </c>
      <c r="J105" s="23" t="s">
        <v>95</v>
      </c>
      <c r="K105" s="23" t="s">
        <v>118</v>
      </c>
      <c r="L105" s="23" t="s">
        <v>97</v>
      </c>
      <c r="M105" s="23" t="s">
        <v>98</v>
      </c>
      <c r="Q105" s="23">
        <v>2022</v>
      </c>
      <c r="R105" s="23" t="s">
        <v>119</v>
      </c>
      <c r="T105" s="23" t="s">
        <v>243</v>
      </c>
      <c r="U105" s="23" t="s">
        <v>244</v>
      </c>
      <c r="V105" s="23" t="s">
        <v>223</v>
      </c>
      <c r="W105" s="23" t="s">
        <v>103</v>
      </c>
      <c r="X105" s="23" t="s">
        <v>104</v>
      </c>
      <c r="Y105" s="23" t="b">
        <f t="shared" si="24"/>
        <v>1</v>
      </c>
      <c r="Z105" s="23" t="b">
        <f t="shared" si="25"/>
        <v>0</v>
      </c>
      <c r="AA105" s="23" t="b">
        <f t="shared" si="26"/>
        <v>0</v>
      </c>
      <c r="AB105" s="23" t="b">
        <f t="shared" si="27"/>
        <v>0</v>
      </c>
      <c r="AC105" s="23" t="b">
        <f t="shared" si="28"/>
        <v>0</v>
      </c>
      <c r="AD105" s="23" t="b">
        <f t="shared" si="29"/>
        <v>0</v>
      </c>
      <c r="AE105" s="23" t="b">
        <f t="shared" si="30"/>
        <v>0</v>
      </c>
      <c r="AF105" s="23" t="b">
        <f t="shared" si="31"/>
        <v>0</v>
      </c>
      <c r="AG105" s="23" t="b">
        <f t="shared" si="32"/>
        <v>0</v>
      </c>
      <c r="AH105" s="23" t="b">
        <f t="shared" si="33"/>
        <v>0</v>
      </c>
      <c r="AI105" s="23" t="b">
        <f t="shared" si="34"/>
        <v>0</v>
      </c>
      <c r="AJ105" s="23" t="b">
        <v>0</v>
      </c>
      <c r="AK105" s="23" t="b">
        <f t="shared" si="35"/>
        <v>0</v>
      </c>
      <c r="AL105" s="23" t="b">
        <f t="shared" si="36"/>
        <v>0</v>
      </c>
      <c r="AM105" s="23" t="b">
        <f t="shared" si="37"/>
        <v>0</v>
      </c>
      <c r="AN105" s="23" t="b">
        <f t="shared" si="38"/>
        <v>0</v>
      </c>
      <c r="AO105" s="23" t="b">
        <f t="shared" si="39"/>
        <v>0</v>
      </c>
      <c r="AP105" s="23" t="b">
        <f t="shared" si="40"/>
        <v>1</v>
      </c>
      <c r="AQ105" s="23" t="b">
        <f t="shared" si="41"/>
        <v>0</v>
      </c>
      <c r="AR105" s="23" t="b">
        <f t="shared" si="42"/>
        <v>0</v>
      </c>
      <c r="AS105" s="23" t="b">
        <v>0</v>
      </c>
      <c r="AT105" s="23" t="b">
        <f t="shared" si="43"/>
        <v>0</v>
      </c>
      <c r="AU105" s="23" t="b">
        <f t="shared" si="44"/>
        <v>0</v>
      </c>
      <c r="AV105" s="23" t="b">
        <f t="shared" si="45"/>
        <v>0</v>
      </c>
      <c r="AW105" s="23" t="b">
        <f t="shared" si="46"/>
        <v>0</v>
      </c>
      <c r="AX105" s="23" t="s">
        <v>99</v>
      </c>
      <c r="AY105" s="23" t="b">
        <v>0</v>
      </c>
      <c r="AZ105" s="23" t="s">
        <v>105</v>
      </c>
    </row>
    <row r="106" spans="1:52" x14ac:dyDescent="0.2">
      <c r="A106" s="23">
        <v>153</v>
      </c>
      <c r="B106" s="23" t="s">
        <v>549</v>
      </c>
      <c r="C106" s="23" t="s">
        <v>627</v>
      </c>
      <c r="D106" s="23" t="b">
        <v>1</v>
      </c>
      <c r="E106" s="23" t="s">
        <v>628</v>
      </c>
      <c r="F106" s="23" t="s">
        <v>629</v>
      </c>
      <c r="G106" s="23" t="s">
        <v>92</v>
      </c>
      <c r="H106" s="23" t="s">
        <v>116</v>
      </c>
      <c r="I106" s="23" t="s">
        <v>630</v>
      </c>
      <c r="J106" s="23" t="s">
        <v>95</v>
      </c>
      <c r="K106" s="23" t="s">
        <v>118</v>
      </c>
      <c r="L106" s="23" t="s">
        <v>97</v>
      </c>
      <c r="Q106" s="23">
        <v>2022</v>
      </c>
      <c r="R106" s="23" t="s">
        <v>119</v>
      </c>
      <c r="T106" s="23" t="s">
        <v>243</v>
      </c>
      <c r="U106" s="23" t="s">
        <v>244</v>
      </c>
      <c r="V106" s="23" t="s">
        <v>223</v>
      </c>
      <c r="W106" s="23" t="s">
        <v>103</v>
      </c>
      <c r="X106" s="23" t="s">
        <v>104</v>
      </c>
      <c r="Y106" s="23" t="b">
        <f t="shared" si="24"/>
        <v>0</v>
      </c>
      <c r="Z106" s="23" t="b">
        <f t="shared" si="25"/>
        <v>0</v>
      </c>
      <c r="AA106" s="23" t="b">
        <f t="shared" si="26"/>
        <v>0</v>
      </c>
      <c r="AB106" s="23" t="b">
        <f t="shared" si="27"/>
        <v>0</v>
      </c>
      <c r="AC106" s="23" t="b">
        <f t="shared" si="28"/>
        <v>0</v>
      </c>
      <c r="AD106" s="23" t="b">
        <f t="shared" si="29"/>
        <v>0</v>
      </c>
      <c r="AE106" s="23" t="b">
        <f t="shared" si="30"/>
        <v>0</v>
      </c>
      <c r="AF106" s="23" t="b">
        <f t="shared" si="31"/>
        <v>0</v>
      </c>
      <c r="AG106" s="23" t="b">
        <f t="shared" si="32"/>
        <v>0</v>
      </c>
      <c r="AH106" s="23" t="b">
        <f t="shared" si="33"/>
        <v>0</v>
      </c>
      <c r="AI106" s="23" t="b">
        <f t="shared" si="34"/>
        <v>0</v>
      </c>
      <c r="AJ106" s="23" t="b">
        <v>0</v>
      </c>
      <c r="AK106" s="23" t="b">
        <f t="shared" si="35"/>
        <v>0</v>
      </c>
      <c r="AL106" s="23" t="b">
        <f t="shared" si="36"/>
        <v>0</v>
      </c>
      <c r="AM106" s="23" t="b">
        <f t="shared" si="37"/>
        <v>0</v>
      </c>
      <c r="AN106" s="23" t="b">
        <f t="shared" si="38"/>
        <v>0</v>
      </c>
      <c r="AO106" s="23" t="b">
        <f t="shared" si="39"/>
        <v>0</v>
      </c>
      <c r="AP106" s="23" t="b">
        <f t="shared" si="40"/>
        <v>1</v>
      </c>
      <c r="AQ106" s="23" t="b">
        <f t="shared" si="41"/>
        <v>0</v>
      </c>
      <c r="AR106" s="23" t="b">
        <f t="shared" si="42"/>
        <v>0</v>
      </c>
      <c r="AS106" s="23" t="b">
        <v>0</v>
      </c>
      <c r="AT106" s="23" t="b">
        <f t="shared" si="43"/>
        <v>0</v>
      </c>
      <c r="AU106" s="23" t="b">
        <f t="shared" si="44"/>
        <v>0</v>
      </c>
      <c r="AV106" s="23" t="b">
        <f t="shared" si="45"/>
        <v>0</v>
      </c>
      <c r="AW106" s="23" t="b">
        <f t="shared" si="46"/>
        <v>0</v>
      </c>
      <c r="AX106" s="23" t="s">
        <v>99</v>
      </c>
      <c r="AY106" s="23" t="b">
        <v>0</v>
      </c>
      <c r="AZ106" s="23" t="s">
        <v>105</v>
      </c>
    </row>
    <row r="107" spans="1:52" x14ac:dyDescent="0.2">
      <c r="A107" s="23">
        <v>154</v>
      </c>
      <c r="B107" s="23" t="s">
        <v>549</v>
      </c>
      <c r="C107" s="23" t="s">
        <v>631</v>
      </c>
      <c r="D107" s="23" t="b">
        <v>1</v>
      </c>
      <c r="E107" s="23" t="s">
        <v>632</v>
      </c>
      <c r="F107" s="23" t="s">
        <v>633</v>
      </c>
      <c r="G107" s="23" t="s">
        <v>92</v>
      </c>
      <c r="H107" s="23" t="s">
        <v>580</v>
      </c>
      <c r="J107" s="23" t="s">
        <v>581</v>
      </c>
      <c r="K107" s="23" t="s">
        <v>634</v>
      </c>
      <c r="Q107" s="23">
        <v>2024</v>
      </c>
      <c r="R107" s="23" t="s">
        <v>132</v>
      </c>
      <c r="T107" s="23" t="s">
        <v>635</v>
      </c>
      <c r="U107" s="23" t="s">
        <v>111</v>
      </c>
      <c r="V107" s="23" t="s">
        <v>112</v>
      </c>
      <c r="W107" s="23" t="s">
        <v>103</v>
      </c>
      <c r="X107" s="23" t="s">
        <v>104</v>
      </c>
      <c r="Y107" s="23" t="b">
        <f t="shared" si="24"/>
        <v>0</v>
      </c>
      <c r="Z107" s="23" t="b">
        <f t="shared" si="25"/>
        <v>0</v>
      </c>
      <c r="AA107" s="23" t="b">
        <f t="shared" si="26"/>
        <v>0</v>
      </c>
      <c r="AB107" s="23" t="b">
        <f t="shared" si="27"/>
        <v>0</v>
      </c>
      <c r="AC107" s="23" t="b">
        <f t="shared" si="28"/>
        <v>0</v>
      </c>
      <c r="AD107" s="23" t="b">
        <f t="shared" si="29"/>
        <v>0</v>
      </c>
      <c r="AE107" s="23" t="b">
        <f t="shared" si="30"/>
        <v>0</v>
      </c>
      <c r="AF107" s="23" t="b">
        <f t="shared" si="31"/>
        <v>0</v>
      </c>
      <c r="AG107" s="23" t="b">
        <f t="shared" si="32"/>
        <v>0</v>
      </c>
      <c r="AH107" s="23" t="b">
        <f t="shared" si="33"/>
        <v>0</v>
      </c>
      <c r="AI107" s="23" t="b">
        <f t="shared" si="34"/>
        <v>0</v>
      </c>
      <c r="AJ107" s="23" t="b">
        <v>1</v>
      </c>
      <c r="AK107" s="23" t="b">
        <f t="shared" si="35"/>
        <v>0</v>
      </c>
      <c r="AL107" s="23" t="b">
        <f t="shared" si="36"/>
        <v>0</v>
      </c>
      <c r="AM107" s="23" t="b">
        <f t="shared" si="37"/>
        <v>0</v>
      </c>
      <c r="AN107" s="23" t="b">
        <f t="shared" si="38"/>
        <v>0</v>
      </c>
      <c r="AO107" s="23" t="b">
        <f t="shared" si="39"/>
        <v>0</v>
      </c>
      <c r="AP107" s="23" t="b">
        <f t="shared" si="40"/>
        <v>0</v>
      </c>
      <c r="AQ107" s="23" t="b">
        <f t="shared" si="41"/>
        <v>0</v>
      </c>
      <c r="AR107" s="23" t="b">
        <f t="shared" si="42"/>
        <v>0</v>
      </c>
      <c r="AS107" s="23" t="b">
        <v>1</v>
      </c>
      <c r="AT107" s="23" t="b">
        <f t="shared" si="43"/>
        <v>0</v>
      </c>
      <c r="AU107" s="23" t="b">
        <f t="shared" si="44"/>
        <v>0</v>
      </c>
      <c r="AV107" s="23" t="b">
        <f t="shared" si="45"/>
        <v>0</v>
      </c>
      <c r="AW107" s="23" t="b">
        <f t="shared" si="46"/>
        <v>0</v>
      </c>
      <c r="AX107" s="23" t="s">
        <v>132</v>
      </c>
      <c r="AY107" s="23" t="b">
        <v>0</v>
      </c>
      <c r="AZ107" s="23" t="s">
        <v>105</v>
      </c>
    </row>
    <row r="108" spans="1:52" x14ac:dyDescent="0.2">
      <c r="A108" s="23">
        <v>155</v>
      </c>
      <c r="B108" s="23" t="s">
        <v>549</v>
      </c>
      <c r="C108" s="25" t="s">
        <v>1289</v>
      </c>
      <c r="D108" s="23" t="b">
        <v>1</v>
      </c>
      <c r="E108" s="23" t="s">
        <v>636</v>
      </c>
      <c r="F108" s="23" t="s">
        <v>637</v>
      </c>
      <c r="G108" s="23" t="s">
        <v>92</v>
      </c>
      <c r="H108" s="23" t="s">
        <v>388</v>
      </c>
      <c r="J108" s="23" t="s">
        <v>240</v>
      </c>
      <c r="K108" s="23" t="s">
        <v>638</v>
      </c>
      <c r="L108" s="23" t="s">
        <v>97</v>
      </c>
      <c r="M108" s="25" t="s">
        <v>131</v>
      </c>
      <c r="P108" s="23">
        <v>2015</v>
      </c>
      <c r="Q108" s="23">
        <v>2017</v>
      </c>
      <c r="V108" s="23" t="s">
        <v>223</v>
      </c>
      <c r="W108" s="23" t="s">
        <v>103</v>
      </c>
      <c r="X108" s="23" t="s">
        <v>104</v>
      </c>
      <c r="Y108" s="23" t="b">
        <f t="shared" si="24"/>
        <v>0</v>
      </c>
      <c r="Z108" s="23" t="b">
        <f t="shared" si="25"/>
        <v>0</v>
      </c>
      <c r="AA108" s="23" t="b">
        <f t="shared" si="26"/>
        <v>0</v>
      </c>
      <c r="AB108" s="23" t="b">
        <f t="shared" si="27"/>
        <v>0</v>
      </c>
      <c r="AC108" s="23" t="b">
        <f t="shared" si="28"/>
        <v>0</v>
      </c>
      <c r="AD108" s="23" t="b">
        <f t="shared" si="29"/>
        <v>0</v>
      </c>
      <c r="AE108" s="23" t="b">
        <f t="shared" si="30"/>
        <v>0</v>
      </c>
      <c r="AF108" s="23" t="b">
        <f t="shared" si="31"/>
        <v>0</v>
      </c>
      <c r="AG108" s="23" t="b">
        <f t="shared" si="32"/>
        <v>0</v>
      </c>
      <c r="AH108" s="23" t="b">
        <f t="shared" si="33"/>
        <v>0</v>
      </c>
      <c r="AI108" s="23" t="b">
        <f t="shared" si="34"/>
        <v>1</v>
      </c>
      <c r="AJ108" s="23" t="b">
        <v>0</v>
      </c>
      <c r="AK108" s="23" t="b">
        <f t="shared" si="35"/>
        <v>0</v>
      </c>
      <c r="AL108" s="23" t="b">
        <f t="shared" si="36"/>
        <v>0</v>
      </c>
      <c r="AM108" s="23" t="b">
        <f t="shared" si="37"/>
        <v>0</v>
      </c>
      <c r="AN108" s="23" t="b">
        <f t="shared" si="38"/>
        <v>0</v>
      </c>
      <c r="AO108" s="23" t="b">
        <f t="shared" si="39"/>
        <v>0</v>
      </c>
      <c r="AP108" s="23" t="b">
        <f t="shared" si="40"/>
        <v>1</v>
      </c>
      <c r="AQ108" s="23" t="b">
        <f t="shared" si="41"/>
        <v>0</v>
      </c>
      <c r="AR108" s="23" t="b">
        <f t="shared" si="42"/>
        <v>0</v>
      </c>
      <c r="AS108" s="23" t="b">
        <v>0</v>
      </c>
      <c r="AT108" s="23" t="b">
        <f t="shared" si="43"/>
        <v>0</v>
      </c>
      <c r="AU108" s="23" t="b">
        <f t="shared" si="44"/>
        <v>0</v>
      </c>
      <c r="AV108" s="23" t="b">
        <f t="shared" si="45"/>
        <v>0</v>
      </c>
      <c r="AW108" s="23" t="b">
        <f t="shared" si="46"/>
        <v>0</v>
      </c>
      <c r="AY108" s="23" t="b">
        <v>1</v>
      </c>
      <c r="AZ108" s="23" t="s">
        <v>105</v>
      </c>
    </row>
    <row r="109" spans="1:52" x14ac:dyDescent="0.2">
      <c r="A109" s="23">
        <v>156</v>
      </c>
      <c r="B109" s="23" t="s">
        <v>549</v>
      </c>
      <c r="C109" s="23" t="s">
        <v>639</v>
      </c>
      <c r="D109" s="23" t="b">
        <v>1</v>
      </c>
      <c r="E109" s="23" t="s">
        <v>640</v>
      </c>
      <c r="F109" s="23" t="s">
        <v>641</v>
      </c>
      <c r="G109" s="23" t="s">
        <v>92</v>
      </c>
      <c r="H109" s="23" t="s">
        <v>388</v>
      </c>
      <c r="J109" s="23" t="s">
        <v>240</v>
      </c>
      <c r="K109" s="23" t="s">
        <v>642</v>
      </c>
      <c r="L109" s="23" t="s">
        <v>481</v>
      </c>
      <c r="P109" s="23">
        <v>2015</v>
      </c>
      <c r="Q109" s="23">
        <v>2017</v>
      </c>
      <c r="R109" s="25" t="s">
        <v>242</v>
      </c>
      <c r="T109" s="23" t="s">
        <v>243</v>
      </c>
      <c r="U109" s="23" t="s">
        <v>244</v>
      </c>
      <c r="V109" s="23" t="s">
        <v>223</v>
      </c>
      <c r="W109" s="23" t="s">
        <v>103</v>
      </c>
      <c r="X109" s="23" t="s">
        <v>104</v>
      </c>
      <c r="Y109" s="23" t="b">
        <f t="shared" si="24"/>
        <v>0</v>
      </c>
      <c r="Z109" s="23" t="b">
        <f t="shared" si="25"/>
        <v>0</v>
      </c>
      <c r="AA109" s="23" t="b">
        <f t="shared" si="26"/>
        <v>0</v>
      </c>
      <c r="AB109" s="23" t="b">
        <f t="shared" si="27"/>
        <v>0</v>
      </c>
      <c r="AC109" s="23" t="b">
        <f t="shared" si="28"/>
        <v>0</v>
      </c>
      <c r="AD109" s="23" t="b">
        <f t="shared" si="29"/>
        <v>0</v>
      </c>
      <c r="AE109" s="23" t="b">
        <f t="shared" si="30"/>
        <v>0</v>
      </c>
      <c r="AF109" s="23" t="b">
        <f t="shared" si="31"/>
        <v>0</v>
      </c>
      <c r="AG109" s="23" t="b">
        <f t="shared" si="32"/>
        <v>0</v>
      </c>
      <c r="AH109" s="23" t="b">
        <f t="shared" si="33"/>
        <v>0</v>
      </c>
      <c r="AI109" s="23" t="b">
        <f t="shared" si="34"/>
        <v>0</v>
      </c>
      <c r="AJ109" s="23" t="b">
        <v>0</v>
      </c>
      <c r="AK109" s="23" t="b">
        <f t="shared" si="35"/>
        <v>0</v>
      </c>
      <c r="AL109" s="23" t="b">
        <f t="shared" si="36"/>
        <v>0</v>
      </c>
      <c r="AM109" s="23" t="b">
        <f t="shared" si="37"/>
        <v>0</v>
      </c>
      <c r="AN109" s="23" t="b">
        <f t="shared" si="38"/>
        <v>0</v>
      </c>
      <c r="AO109" s="23" t="b">
        <f t="shared" si="39"/>
        <v>0</v>
      </c>
      <c r="AP109" s="23" t="b">
        <f t="shared" si="40"/>
        <v>0</v>
      </c>
      <c r="AQ109" s="23" t="b">
        <f t="shared" si="41"/>
        <v>0</v>
      </c>
      <c r="AR109" s="23" t="b">
        <f t="shared" si="42"/>
        <v>0</v>
      </c>
      <c r="AS109" s="23" t="b">
        <v>0</v>
      </c>
      <c r="AT109" s="23" t="b">
        <f t="shared" si="43"/>
        <v>0</v>
      </c>
      <c r="AU109" s="23" t="b">
        <f t="shared" si="44"/>
        <v>0</v>
      </c>
      <c r="AV109" s="23" t="b">
        <f t="shared" si="45"/>
        <v>0</v>
      </c>
      <c r="AW109" s="23" t="b">
        <f t="shared" si="46"/>
        <v>1</v>
      </c>
      <c r="AY109" s="23" t="b">
        <v>0</v>
      </c>
      <c r="AZ109" s="23" t="s">
        <v>105</v>
      </c>
    </row>
    <row r="110" spans="1:52" x14ac:dyDescent="0.2">
      <c r="A110" s="23">
        <v>157</v>
      </c>
      <c r="B110" s="23" t="s">
        <v>549</v>
      </c>
      <c r="C110" s="23" t="s">
        <v>643</v>
      </c>
      <c r="D110" s="23" t="b">
        <v>1</v>
      </c>
      <c r="E110" s="23" t="s">
        <v>644</v>
      </c>
      <c r="F110" s="23" t="s">
        <v>645</v>
      </c>
      <c r="G110" s="23" t="s">
        <v>92</v>
      </c>
      <c r="H110" s="23" t="s">
        <v>93</v>
      </c>
      <c r="I110" s="23" t="s">
        <v>646</v>
      </c>
      <c r="J110" s="23" t="s">
        <v>95</v>
      </c>
      <c r="K110" s="23" t="s">
        <v>96</v>
      </c>
      <c r="L110" s="23" t="s">
        <v>404</v>
      </c>
      <c r="Q110" s="23">
        <v>2001</v>
      </c>
      <c r="R110" s="23" t="s">
        <v>119</v>
      </c>
      <c r="T110" s="23" t="s">
        <v>207</v>
      </c>
      <c r="U110" s="23" t="s">
        <v>111</v>
      </c>
      <c r="V110" s="23" t="s">
        <v>112</v>
      </c>
      <c r="W110" s="23" t="s">
        <v>103</v>
      </c>
      <c r="X110" s="23" t="s">
        <v>104</v>
      </c>
      <c r="Y110" s="23" t="b">
        <f t="shared" si="24"/>
        <v>0</v>
      </c>
      <c r="Z110" s="23" t="b">
        <f t="shared" si="25"/>
        <v>0</v>
      </c>
      <c r="AA110" s="23" t="b">
        <f t="shared" si="26"/>
        <v>0</v>
      </c>
      <c r="AB110" s="23" t="b">
        <f t="shared" si="27"/>
        <v>0</v>
      </c>
      <c r="AC110" s="23" t="b">
        <f t="shared" si="28"/>
        <v>0</v>
      </c>
      <c r="AD110" s="23" t="b">
        <f t="shared" si="29"/>
        <v>0</v>
      </c>
      <c r="AE110" s="23" t="b">
        <f t="shared" si="30"/>
        <v>0</v>
      </c>
      <c r="AF110" s="23" t="b">
        <f t="shared" si="31"/>
        <v>0</v>
      </c>
      <c r="AG110" s="23" t="b">
        <f t="shared" si="32"/>
        <v>0</v>
      </c>
      <c r="AH110" s="23" t="b">
        <f t="shared" si="33"/>
        <v>0</v>
      </c>
      <c r="AI110" s="23" t="b">
        <f t="shared" si="34"/>
        <v>0</v>
      </c>
      <c r="AJ110" s="23" t="b">
        <v>0</v>
      </c>
      <c r="AK110" s="23" t="b">
        <f t="shared" si="35"/>
        <v>0</v>
      </c>
      <c r="AL110" s="23" t="b">
        <f t="shared" si="36"/>
        <v>0</v>
      </c>
      <c r="AM110" s="23" t="b">
        <f t="shared" si="37"/>
        <v>0</v>
      </c>
      <c r="AN110" s="23" t="b">
        <f t="shared" si="38"/>
        <v>0</v>
      </c>
      <c r="AO110" s="23" t="b">
        <f t="shared" si="39"/>
        <v>0</v>
      </c>
      <c r="AP110" s="23" t="b">
        <f t="shared" si="40"/>
        <v>0</v>
      </c>
      <c r="AQ110" s="23" t="b">
        <f t="shared" si="41"/>
        <v>0</v>
      </c>
      <c r="AR110" s="23" t="b">
        <f t="shared" si="42"/>
        <v>0</v>
      </c>
      <c r="AS110" s="23" t="b">
        <v>0</v>
      </c>
      <c r="AT110" s="23" t="b">
        <f t="shared" si="43"/>
        <v>0</v>
      </c>
      <c r="AU110" s="23" t="b">
        <f t="shared" si="44"/>
        <v>1</v>
      </c>
      <c r="AV110" s="23" t="b">
        <f t="shared" si="45"/>
        <v>0</v>
      </c>
      <c r="AW110" s="23" t="b">
        <f t="shared" si="46"/>
        <v>0</v>
      </c>
      <c r="AX110" s="23" t="s">
        <v>99</v>
      </c>
      <c r="AY110" s="23" t="b">
        <v>0</v>
      </c>
      <c r="AZ110" s="23" t="s">
        <v>105</v>
      </c>
    </row>
    <row r="111" spans="1:52" x14ac:dyDescent="0.2">
      <c r="A111" s="23">
        <v>158</v>
      </c>
      <c r="B111" s="23" t="s">
        <v>549</v>
      </c>
      <c r="C111" s="23" t="s">
        <v>647</v>
      </c>
      <c r="D111" s="23" t="b">
        <v>1</v>
      </c>
      <c r="E111" s="23" t="s">
        <v>648</v>
      </c>
      <c r="F111" s="23" t="s">
        <v>649</v>
      </c>
      <c r="G111" s="23" t="s">
        <v>92</v>
      </c>
      <c r="H111" s="23" t="s">
        <v>650</v>
      </c>
      <c r="I111" s="23" t="s">
        <v>651</v>
      </c>
      <c r="J111" s="23" t="s">
        <v>652</v>
      </c>
      <c r="K111" s="23" t="s">
        <v>653</v>
      </c>
      <c r="L111" s="23" t="s">
        <v>97</v>
      </c>
      <c r="M111" s="23" t="s">
        <v>98</v>
      </c>
      <c r="Q111" s="23">
        <v>2009</v>
      </c>
      <c r="R111" s="23" t="s">
        <v>132</v>
      </c>
      <c r="T111" s="23" t="s">
        <v>654</v>
      </c>
      <c r="U111" s="23" t="s">
        <v>244</v>
      </c>
      <c r="V111" s="23" t="s">
        <v>223</v>
      </c>
      <c r="W111" s="23" t="s">
        <v>103</v>
      </c>
      <c r="X111" s="23" t="s">
        <v>104</v>
      </c>
      <c r="Y111" s="23" t="b">
        <f t="shared" si="24"/>
        <v>1</v>
      </c>
      <c r="Z111" s="23" t="b">
        <f t="shared" si="25"/>
        <v>0</v>
      </c>
      <c r="AA111" s="23" t="b">
        <f t="shared" si="26"/>
        <v>0</v>
      </c>
      <c r="AB111" s="23" t="b">
        <f t="shared" si="27"/>
        <v>0</v>
      </c>
      <c r="AC111" s="23" t="b">
        <f t="shared" si="28"/>
        <v>0</v>
      </c>
      <c r="AD111" s="23" t="b">
        <f t="shared" si="29"/>
        <v>0</v>
      </c>
      <c r="AE111" s="23" t="b">
        <f t="shared" si="30"/>
        <v>0</v>
      </c>
      <c r="AF111" s="23" t="b">
        <f t="shared" si="31"/>
        <v>0</v>
      </c>
      <c r="AG111" s="23" t="b">
        <f t="shared" si="32"/>
        <v>0</v>
      </c>
      <c r="AH111" s="23" t="b">
        <f t="shared" si="33"/>
        <v>0</v>
      </c>
      <c r="AI111" s="23" t="b">
        <f t="shared" si="34"/>
        <v>0</v>
      </c>
      <c r="AJ111" s="23" t="b">
        <v>0</v>
      </c>
      <c r="AK111" s="23" t="b">
        <f t="shared" si="35"/>
        <v>0</v>
      </c>
      <c r="AL111" s="23" t="b">
        <f t="shared" si="36"/>
        <v>0</v>
      </c>
      <c r="AM111" s="23" t="b">
        <f t="shared" si="37"/>
        <v>0</v>
      </c>
      <c r="AN111" s="23" t="b">
        <f t="shared" si="38"/>
        <v>0</v>
      </c>
      <c r="AO111" s="23" t="b">
        <f t="shared" si="39"/>
        <v>0</v>
      </c>
      <c r="AP111" s="23" t="b">
        <f t="shared" si="40"/>
        <v>1</v>
      </c>
      <c r="AQ111" s="23" t="b">
        <f t="shared" si="41"/>
        <v>0</v>
      </c>
      <c r="AR111" s="23" t="b">
        <f t="shared" si="42"/>
        <v>0</v>
      </c>
      <c r="AS111" s="23" t="b">
        <v>0</v>
      </c>
      <c r="AT111" s="23" t="b">
        <f t="shared" si="43"/>
        <v>0</v>
      </c>
      <c r="AU111" s="23" t="b">
        <f t="shared" si="44"/>
        <v>0</v>
      </c>
      <c r="AV111" s="23" t="b">
        <f t="shared" si="45"/>
        <v>0</v>
      </c>
      <c r="AW111" s="23" t="b">
        <f t="shared" si="46"/>
        <v>0</v>
      </c>
      <c r="AX111" s="23" t="s">
        <v>132</v>
      </c>
      <c r="AY111" s="23" t="b">
        <v>0</v>
      </c>
      <c r="AZ111" s="23" t="s">
        <v>105</v>
      </c>
    </row>
    <row r="112" spans="1:52" x14ac:dyDescent="0.2">
      <c r="A112" s="23">
        <v>159</v>
      </c>
      <c r="B112" s="23" t="s">
        <v>549</v>
      </c>
      <c r="C112" s="23" t="s">
        <v>655</v>
      </c>
      <c r="D112" s="23" t="b">
        <v>1</v>
      </c>
      <c r="E112" s="23" t="s">
        <v>656</v>
      </c>
      <c r="F112" s="23" t="s">
        <v>657</v>
      </c>
      <c r="G112" s="23" t="s">
        <v>92</v>
      </c>
      <c r="H112" s="23" t="s">
        <v>566</v>
      </c>
      <c r="J112" s="23" t="s">
        <v>464</v>
      </c>
      <c r="K112" s="23" t="s">
        <v>658</v>
      </c>
      <c r="L112" s="23" t="s">
        <v>97</v>
      </c>
      <c r="M112" s="23" t="s">
        <v>98</v>
      </c>
      <c r="Q112" s="23">
        <v>2023</v>
      </c>
      <c r="R112" s="23" t="s">
        <v>99</v>
      </c>
      <c r="T112" s="23" t="s">
        <v>654</v>
      </c>
      <c r="U112" s="23" t="s">
        <v>244</v>
      </c>
      <c r="V112" s="23" t="s">
        <v>223</v>
      </c>
      <c r="W112" s="23" t="s">
        <v>103</v>
      </c>
      <c r="X112" s="23" t="s">
        <v>104</v>
      </c>
      <c r="Y112" s="23" t="b">
        <f t="shared" si="24"/>
        <v>1</v>
      </c>
      <c r="Z112" s="23" t="b">
        <f t="shared" si="25"/>
        <v>0</v>
      </c>
      <c r="AA112" s="23" t="b">
        <f t="shared" si="26"/>
        <v>0</v>
      </c>
      <c r="AB112" s="23" t="b">
        <f t="shared" si="27"/>
        <v>0</v>
      </c>
      <c r="AC112" s="23" t="b">
        <f t="shared" si="28"/>
        <v>0</v>
      </c>
      <c r="AD112" s="23" t="b">
        <f t="shared" si="29"/>
        <v>0</v>
      </c>
      <c r="AE112" s="23" t="b">
        <f t="shared" si="30"/>
        <v>0</v>
      </c>
      <c r="AF112" s="23" t="b">
        <f t="shared" si="31"/>
        <v>0</v>
      </c>
      <c r="AG112" s="23" t="b">
        <f t="shared" si="32"/>
        <v>0</v>
      </c>
      <c r="AH112" s="23" t="b">
        <f t="shared" si="33"/>
        <v>0</v>
      </c>
      <c r="AI112" s="23" t="b">
        <f t="shared" si="34"/>
        <v>0</v>
      </c>
      <c r="AJ112" s="23" t="b">
        <v>0</v>
      </c>
      <c r="AK112" s="23" t="b">
        <f t="shared" si="35"/>
        <v>0</v>
      </c>
      <c r="AL112" s="23" t="b">
        <f t="shared" si="36"/>
        <v>0</v>
      </c>
      <c r="AM112" s="23" t="b">
        <f t="shared" si="37"/>
        <v>0</v>
      </c>
      <c r="AN112" s="23" t="b">
        <f t="shared" si="38"/>
        <v>0</v>
      </c>
      <c r="AO112" s="23" t="b">
        <f t="shared" si="39"/>
        <v>0</v>
      </c>
      <c r="AP112" s="23" t="b">
        <f t="shared" si="40"/>
        <v>1</v>
      </c>
      <c r="AQ112" s="23" t="b">
        <f t="shared" si="41"/>
        <v>0</v>
      </c>
      <c r="AR112" s="23" t="b">
        <f t="shared" si="42"/>
        <v>0</v>
      </c>
      <c r="AS112" s="23" t="b">
        <v>0</v>
      </c>
      <c r="AT112" s="23" t="b">
        <f t="shared" si="43"/>
        <v>0</v>
      </c>
      <c r="AU112" s="23" t="b">
        <f t="shared" si="44"/>
        <v>0</v>
      </c>
      <c r="AV112" s="23" t="b">
        <f t="shared" si="45"/>
        <v>0</v>
      </c>
      <c r="AW112" s="23" t="b">
        <f t="shared" si="46"/>
        <v>0</v>
      </c>
      <c r="AX112" s="23" t="s">
        <v>99</v>
      </c>
      <c r="AY112" s="23" t="b">
        <v>0</v>
      </c>
      <c r="AZ112" s="23" t="s">
        <v>105</v>
      </c>
    </row>
    <row r="113" spans="1:52" x14ac:dyDescent="0.2">
      <c r="A113" s="23">
        <v>160</v>
      </c>
      <c r="B113" s="23" t="s">
        <v>549</v>
      </c>
      <c r="C113" s="23" t="s">
        <v>659</v>
      </c>
      <c r="D113" s="23" t="b">
        <v>1</v>
      </c>
      <c r="E113" s="23" t="s">
        <v>660</v>
      </c>
      <c r="F113" s="23" t="s">
        <v>661</v>
      </c>
      <c r="G113" s="23" t="s">
        <v>92</v>
      </c>
      <c r="H113" s="23" t="s">
        <v>662</v>
      </c>
      <c r="J113" s="23" t="s">
        <v>581</v>
      </c>
      <c r="K113" s="23" t="s">
        <v>663</v>
      </c>
      <c r="Q113" s="23">
        <v>2023</v>
      </c>
      <c r="R113" s="23" t="s">
        <v>132</v>
      </c>
      <c r="T113" s="23" t="s">
        <v>635</v>
      </c>
      <c r="U113" s="23" t="s">
        <v>244</v>
      </c>
      <c r="V113" s="23" t="s">
        <v>223</v>
      </c>
      <c r="W113" s="23" t="s">
        <v>103</v>
      </c>
      <c r="X113" s="23" t="s">
        <v>104</v>
      </c>
      <c r="Y113" s="23" t="b">
        <f t="shared" si="24"/>
        <v>0</v>
      </c>
      <c r="Z113" s="23" t="b">
        <f t="shared" si="25"/>
        <v>0</v>
      </c>
      <c r="AA113" s="23" t="b">
        <f t="shared" si="26"/>
        <v>0</v>
      </c>
      <c r="AB113" s="23" t="b">
        <f t="shared" si="27"/>
        <v>0</v>
      </c>
      <c r="AC113" s="23" t="b">
        <f t="shared" si="28"/>
        <v>0</v>
      </c>
      <c r="AD113" s="23" t="b">
        <f t="shared" si="29"/>
        <v>0</v>
      </c>
      <c r="AE113" s="23" t="b">
        <f t="shared" si="30"/>
        <v>0</v>
      </c>
      <c r="AF113" s="23" t="b">
        <f t="shared" si="31"/>
        <v>0</v>
      </c>
      <c r="AG113" s="23" t="b">
        <f t="shared" si="32"/>
        <v>0</v>
      </c>
      <c r="AH113" s="23" t="b">
        <f t="shared" si="33"/>
        <v>0</v>
      </c>
      <c r="AI113" s="23" t="b">
        <f t="shared" si="34"/>
        <v>0</v>
      </c>
      <c r="AJ113" s="23" t="b">
        <v>1</v>
      </c>
      <c r="AK113" s="23" t="b">
        <f t="shared" si="35"/>
        <v>0</v>
      </c>
      <c r="AL113" s="23" t="b">
        <f t="shared" si="36"/>
        <v>0</v>
      </c>
      <c r="AM113" s="23" t="b">
        <f t="shared" si="37"/>
        <v>0</v>
      </c>
      <c r="AN113" s="23" t="b">
        <f t="shared" si="38"/>
        <v>0</v>
      </c>
      <c r="AO113" s="23" t="b">
        <f t="shared" si="39"/>
        <v>0</v>
      </c>
      <c r="AP113" s="23" t="b">
        <f t="shared" si="40"/>
        <v>0</v>
      </c>
      <c r="AQ113" s="23" t="b">
        <f t="shared" si="41"/>
        <v>0</v>
      </c>
      <c r="AR113" s="23" t="b">
        <f t="shared" si="42"/>
        <v>0</v>
      </c>
      <c r="AS113" s="23" t="b">
        <v>1</v>
      </c>
      <c r="AT113" s="23" t="b">
        <f t="shared" si="43"/>
        <v>0</v>
      </c>
      <c r="AU113" s="23" t="b">
        <f t="shared" si="44"/>
        <v>0</v>
      </c>
      <c r="AV113" s="23" t="b">
        <f t="shared" si="45"/>
        <v>0</v>
      </c>
      <c r="AW113" s="23" t="b">
        <f t="shared" si="46"/>
        <v>0</v>
      </c>
      <c r="AX113" s="23" t="s">
        <v>132</v>
      </c>
      <c r="AY113" s="23" t="b">
        <v>0</v>
      </c>
      <c r="AZ113" s="23" t="s">
        <v>105</v>
      </c>
    </row>
    <row r="114" spans="1:52" x14ac:dyDescent="0.2">
      <c r="A114" s="23">
        <v>161</v>
      </c>
      <c r="B114" s="23" t="s">
        <v>549</v>
      </c>
      <c r="C114" s="23" t="s">
        <v>664</v>
      </c>
      <c r="D114" s="23" t="b">
        <v>1</v>
      </c>
      <c r="E114" s="23" t="s">
        <v>665</v>
      </c>
      <c r="F114" s="23" t="s">
        <v>666</v>
      </c>
      <c r="G114" s="23" t="s">
        <v>92</v>
      </c>
      <c r="H114" s="23" t="s">
        <v>580</v>
      </c>
      <c r="J114" s="23" t="s">
        <v>581</v>
      </c>
      <c r="K114" s="23" t="s">
        <v>667</v>
      </c>
      <c r="L114" s="23" t="s">
        <v>668</v>
      </c>
      <c r="M114" s="23" t="s">
        <v>669</v>
      </c>
      <c r="Q114" s="23">
        <v>2024</v>
      </c>
      <c r="R114" s="23" t="s">
        <v>132</v>
      </c>
      <c r="T114" s="23" t="s">
        <v>635</v>
      </c>
      <c r="U114" s="23" t="s">
        <v>244</v>
      </c>
      <c r="V114" s="23" t="s">
        <v>223</v>
      </c>
      <c r="W114" s="23" t="s">
        <v>103</v>
      </c>
      <c r="X114" s="23" t="s">
        <v>104</v>
      </c>
      <c r="Y114" s="23" t="b">
        <f t="shared" si="24"/>
        <v>0</v>
      </c>
      <c r="Z114" s="23" t="b">
        <f t="shared" si="25"/>
        <v>0</v>
      </c>
      <c r="AA114" s="23" t="b">
        <f t="shared" si="26"/>
        <v>0</v>
      </c>
      <c r="AB114" s="23" t="b">
        <f t="shared" si="27"/>
        <v>1</v>
      </c>
      <c r="AC114" s="23" t="b">
        <f t="shared" si="28"/>
        <v>0</v>
      </c>
      <c r="AD114" s="23" t="b">
        <f t="shared" si="29"/>
        <v>0</v>
      </c>
      <c r="AE114" s="23" t="b">
        <f t="shared" si="30"/>
        <v>0</v>
      </c>
      <c r="AF114" s="23" t="b">
        <f t="shared" si="31"/>
        <v>0</v>
      </c>
      <c r="AG114" s="23" t="b">
        <f t="shared" si="32"/>
        <v>0</v>
      </c>
      <c r="AH114" s="23" t="b">
        <f t="shared" si="33"/>
        <v>0</v>
      </c>
      <c r="AI114" s="23" t="b">
        <f t="shared" si="34"/>
        <v>0</v>
      </c>
      <c r="AJ114" s="23" t="b">
        <v>0</v>
      </c>
      <c r="AK114" s="23" t="b">
        <f t="shared" si="35"/>
        <v>0</v>
      </c>
      <c r="AL114" s="23" t="b">
        <f t="shared" si="36"/>
        <v>0</v>
      </c>
      <c r="AM114" s="23" t="b">
        <f t="shared" si="37"/>
        <v>0</v>
      </c>
      <c r="AN114" s="23" t="b">
        <f t="shared" si="38"/>
        <v>0</v>
      </c>
      <c r="AO114" s="23" t="b">
        <f t="shared" si="39"/>
        <v>0</v>
      </c>
      <c r="AP114" s="23" t="b">
        <f t="shared" si="40"/>
        <v>0</v>
      </c>
      <c r="AQ114" s="23" t="b">
        <f t="shared" si="41"/>
        <v>0</v>
      </c>
      <c r="AR114" s="23" t="b">
        <f t="shared" si="42"/>
        <v>1</v>
      </c>
      <c r="AS114" s="23" t="b">
        <v>0</v>
      </c>
      <c r="AT114" s="23" t="b">
        <f t="shared" si="43"/>
        <v>0</v>
      </c>
      <c r="AU114" s="23" t="b">
        <f t="shared" si="44"/>
        <v>0</v>
      </c>
      <c r="AV114" s="23" t="b">
        <f t="shared" si="45"/>
        <v>0</v>
      </c>
      <c r="AW114" s="23" t="b">
        <f t="shared" si="46"/>
        <v>0</v>
      </c>
      <c r="AX114" s="23" t="s">
        <v>132</v>
      </c>
      <c r="AY114" s="23" t="b">
        <v>0</v>
      </c>
      <c r="AZ114" s="23" t="s">
        <v>105</v>
      </c>
    </row>
    <row r="115" spans="1:52" x14ac:dyDescent="0.2">
      <c r="A115" s="23">
        <v>162</v>
      </c>
      <c r="B115" s="23" t="s">
        <v>549</v>
      </c>
      <c r="C115" s="23" t="s">
        <v>670</v>
      </c>
      <c r="D115" s="23" t="b">
        <v>1</v>
      </c>
      <c r="E115" s="23" t="s">
        <v>671</v>
      </c>
      <c r="F115" s="23" t="s">
        <v>672</v>
      </c>
      <c r="G115" s="23" t="s">
        <v>92</v>
      </c>
      <c r="H115" s="23" t="s">
        <v>673</v>
      </c>
      <c r="J115" s="23" t="s">
        <v>581</v>
      </c>
      <c r="K115" s="23" t="s">
        <v>674</v>
      </c>
      <c r="L115" s="23" t="s">
        <v>675</v>
      </c>
      <c r="M115" s="25"/>
      <c r="Q115" s="23">
        <v>2024</v>
      </c>
      <c r="R115" s="23" t="s">
        <v>132</v>
      </c>
      <c r="T115" s="23" t="s">
        <v>635</v>
      </c>
      <c r="U115" s="23" t="s">
        <v>244</v>
      </c>
      <c r="V115" s="23" t="s">
        <v>223</v>
      </c>
      <c r="W115" s="23" t="s">
        <v>103</v>
      </c>
      <c r="X115" s="23" t="s">
        <v>104</v>
      </c>
      <c r="Y115" s="23" t="b">
        <f t="shared" si="24"/>
        <v>0</v>
      </c>
      <c r="Z115" s="23" t="b">
        <f t="shared" si="25"/>
        <v>0</v>
      </c>
      <c r="AA115" s="23" t="b">
        <f t="shared" si="26"/>
        <v>0</v>
      </c>
      <c r="AB115" s="23" t="b">
        <f t="shared" si="27"/>
        <v>0</v>
      </c>
      <c r="AC115" s="23" t="b">
        <f t="shared" si="28"/>
        <v>0</v>
      </c>
      <c r="AD115" s="23" t="b">
        <f t="shared" si="29"/>
        <v>0</v>
      </c>
      <c r="AE115" s="23" t="b">
        <f t="shared" si="30"/>
        <v>0</v>
      </c>
      <c r="AF115" s="23" t="b">
        <f t="shared" si="31"/>
        <v>0</v>
      </c>
      <c r="AG115" s="23" t="b">
        <f t="shared" si="32"/>
        <v>0</v>
      </c>
      <c r="AH115" s="23" t="b">
        <f t="shared" si="33"/>
        <v>0</v>
      </c>
      <c r="AI115" s="23" t="b">
        <f t="shared" si="34"/>
        <v>0</v>
      </c>
      <c r="AJ115" s="23" t="b">
        <v>0</v>
      </c>
      <c r="AK115" s="23" t="b">
        <f t="shared" si="35"/>
        <v>0</v>
      </c>
      <c r="AL115" s="23" t="b">
        <f t="shared" si="36"/>
        <v>0</v>
      </c>
      <c r="AM115" s="23" t="b">
        <f t="shared" si="37"/>
        <v>0</v>
      </c>
      <c r="AN115" s="23" t="b">
        <f t="shared" si="38"/>
        <v>0</v>
      </c>
      <c r="AO115" s="23" t="b">
        <f t="shared" si="39"/>
        <v>0</v>
      </c>
      <c r="AP115" s="23" t="b">
        <f t="shared" si="40"/>
        <v>0</v>
      </c>
      <c r="AQ115" s="23" t="b">
        <f t="shared" si="41"/>
        <v>0</v>
      </c>
      <c r="AR115" s="23" t="b">
        <f t="shared" si="42"/>
        <v>0</v>
      </c>
      <c r="AS115" s="23" t="b">
        <v>0</v>
      </c>
      <c r="AT115" s="23" t="b">
        <f t="shared" si="43"/>
        <v>0</v>
      </c>
      <c r="AU115" s="23" t="b">
        <f t="shared" si="44"/>
        <v>1</v>
      </c>
      <c r="AV115" s="23" t="b">
        <f t="shared" si="45"/>
        <v>0</v>
      </c>
      <c r="AW115" s="23" t="b">
        <f t="shared" si="46"/>
        <v>1</v>
      </c>
      <c r="AX115" s="23" t="s">
        <v>132</v>
      </c>
      <c r="AY115" s="23" t="b">
        <v>0</v>
      </c>
      <c r="AZ115" s="23" t="s">
        <v>105</v>
      </c>
    </row>
    <row r="116" spans="1:52" x14ac:dyDescent="0.2">
      <c r="A116" s="23">
        <v>163</v>
      </c>
      <c r="B116" s="23" t="s">
        <v>549</v>
      </c>
      <c r="C116" s="23" t="s">
        <v>676</v>
      </c>
      <c r="D116" s="23" t="b">
        <v>1</v>
      </c>
      <c r="E116" s="23" t="s">
        <v>677</v>
      </c>
      <c r="F116" s="23" t="s">
        <v>678</v>
      </c>
      <c r="G116" s="23" t="s">
        <v>92</v>
      </c>
      <c r="H116" s="23" t="s">
        <v>679</v>
      </c>
      <c r="J116" s="23" t="s">
        <v>567</v>
      </c>
      <c r="K116" s="23" t="s">
        <v>680</v>
      </c>
      <c r="L116" s="23" t="s">
        <v>681</v>
      </c>
      <c r="M116" s="25"/>
      <c r="Q116" s="23">
        <v>2024</v>
      </c>
      <c r="R116" s="23" t="s">
        <v>132</v>
      </c>
      <c r="T116" s="23" t="s">
        <v>243</v>
      </c>
      <c r="U116" s="23" t="s">
        <v>244</v>
      </c>
      <c r="V116" s="23" t="s">
        <v>223</v>
      </c>
      <c r="W116" s="23" t="s">
        <v>103</v>
      </c>
      <c r="X116" s="23" t="s">
        <v>104</v>
      </c>
      <c r="Y116" s="23" t="b">
        <f t="shared" si="24"/>
        <v>0</v>
      </c>
      <c r="Z116" s="23" t="b">
        <f t="shared" si="25"/>
        <v>0</v>
      </c>
      <c r="AA116" s="23" t="b">
        <f t="shared" si="26"/>
        <v>0</v>
      </c>
      <c r="AB116" s="23" t="b">
        <f t="shared" si="27"/>
        <v>0</v>
      </c>
      <c r="AC116" s="23" t="b">
        <f t="shared" si="28"/>
        <v>0</v>
      </c>
      <c r="AD116" s="23" t="b">
        <f t="shared" si="29"/>
        <v>0</v>
      </c>
      <c r="AE116" s="23" t="b">
        <f t="shared" si="30"/>
        <v>0</v>
      </c>
      <c r="AF116" s="23" t="b">
        <f t="shared" si="31"/>
        <v>0</v>
      </c>
      <c r="AG116" s="23" t="b">
        <f t="shared" si="32"/>
        <v>0</v>
      </c>
      <c r="AH116" s="23" t="b">
        <f t="shared" si="33"/>
        <v>0</v>
      </c>
      <c r="AI116" s="23" t="b">
        <f t="shared" si="34"/>
        <v>0</v>
      </c>
      <c r="AJ116" s="23" t="b">
        <v>0</v>
      </c>
      <c r="AK116" s="23" t="b">
        <f t="shared" si="35"/>
        <v>0</v>
      </c>
      <c r="AL116" s="23" t="b">
        <f t="shared" si="36"/>
        <v>0</v>
      </c>
      <c r="AM116" s="23" t="b">
        <f t="shared" si="37"/>
        <v>0</v>
      </c>
      <c r="AN116" s="23" t="b">
        <f t="shared" si="38"/>
        <v>0</v>
      </c>
      <c r="AO116" s="23" t="b">
        <f t="shared" si="39"/>
        <v>0</v>
      </c>
      <c r="AP116" s="23" t="b">
        <f t="shared" si="40"/>
        <v>0</v>
      </c>
      <c r="AQ116" s="23" t="b">
        <f t="shared" si="41"/>
        <v>0</v>
      </c>
      <c r="AR116" s="23" t="b">
        <f t="shared" si="42"/>
        <v>0</v>
      </c>
      <c r="AS116" s="23" t="b">
        <v>0</v>
      </c>
      <c r="AT116" s="23" t="b">
        <f t="shared" si="43"/>
        <v>0</v>
      </c>
      <c r="AU116" s="23" t="b">
        <f t="shared" si="44"/>
        <v>1</v>
      </c>
      <c r="AV116" s="23" t="b">
        <f t="shared" si="45"/>
        <v>0</v>
      </c>
      <c r="AW116" s="23" t="b">
        <f t="shared" si="46"/>
        <v>1</v>
      </c>
      <c r="AX116" s="23" t="s">
        <v>132</v>
      </c>
      <c r="AY116" s="23" t="b">
        <v>0</v>
      </c>
      <c r="AZ116" s="23" t="s">
        <v>105</v>
      </c>
    </row>
    <row r="117" spans="1:52" x14ac:dyDescent="0.2">
      <c r="A117" s="23">
        <v>164</v>
      </c>
      <c r="B117" s="23" t="s">
        <v>549</v>
      </c>
      <c r="C117" s="23" t="s">
        <v>682</v>
      </c>
      <c r="D117" s="23" t="b">
        <v>1</v>
      </c>
      <c r="E117" s="23" t="s">
        <v>683</v>
      </c>
      <c r="F117" s="23" t="s">
        <v>684</v>
      </c>
      <c r="G117" s="23" t="s">
        <v>92</v>
      </c>
      <c r="H117" s="23" t="s">
        <v>93</v>
      </c>
      <c r="I117" s="23" t="s">
        <v>685</v>
      </c>
      <c r="J117" s="23" t="s">
        <v>95</v>
      </c>
      <c r="K117" s="23" t="s">
        <v>96</v>
      </c>
      <c r="L117" s="23" t="s">
        <v>97</v>
      </c>
      <c r="M117" s="25" t="s">
        <v>98</v>
      </c>
      <c r="Q117" s="23">
        <v>2001</v>
      </c>
      <c r="R117" s="23" t="s">
        <v>119</v>
      </c>
      <c r="T117" s="23" t="s">
        <v>207</v>
      </c>
      <c r="U117" s="23" t="s">
        <v>111</v>
      </c>
      <c r="V117" s="23" t="s">
        <v>112</v>
      </c>
      <c r="W117" s="23" t="s">
        <v>103</v>
      </c>
      <c r="X117" s="23" t="s">
        <v>104</v>
      </c>
      <c r="Y117" s="23" t="b">
        <f t="shared" si="24"/>
        <v>1</v>
      </c>
      <c r="Z117" s="23" t="b">
        <f t="shared" si="25"/>
        <v>0</v>
      </c>
      <c r="AA117" s="23" t="b">
        <f t="shared" si="26"/>
        <v>0</v>
      </c>
      <c r="AB117" s="23" t="b">
        <f t="shared" si="27"/>
        <v>0</v>
      </c>
      <c r="AC117" s="23" t="b">
        <f t="shared" si="28"/>
        <v>0</v>
      </c>
      <c r="AD117" s="23" t="b">
        <f t="shared" si="29"/>
        <v>0</v>
      </c>
      <c r="AE117" s="23" t="b">
        <f t="shared" si="30"/>
        <v>0</v>
      </c>
      <c r="AF117" s="23" t="b">
        <f t="shared" si="31"/>
        <v>0</v>
      </c>
      <c r="AG117" s="23" t="b">
        <f t="shared" si="32"/>
        <v>0</v>
      </c>
      <c r="AH117" s="23" t="b">
        <f t="shared" si="33"/>
        <v>0</v>
      </c>
      <c r="AI117" s="23" t="b">
        <f t="shared" si="34"/>
        <v>0</v>
      </c>
      <c r="AJ117" s="23" t="b">
        <v>0</v>
      </c>
      <c r="AK117" s="23" t="b">
        <f t="shared" si="35"/>
        <v>0</v>
      </c>
      <c r="AL117" s="23" t="b">
        <f t="shared" si="36"/>
        <v>0</v>
      </c>
      <c r="AM117" s="23" t="b">
        <f t="shared" si="37"/>
        <v>0</v>
      </c>
      <c r="AN117" s="23" t="b">
        <f t="shared" si="38"/>
        <v>0</v>
      </c>
      <c r="AO117" s="23" t="b">
        <f t="shared" si="39"/>
        <v>0</v>
      </c>
      <c r="AP117" s="23" t="b">
        <f t="shared" si="40"/>
        <v>1</v>
      </c>
      <c r="AQ117" s="23" t="b">
        <f t="shared" si="41"/>
        <v>0</v>
      </c>
      <c r="AR117" s="23" t="b">
        <f t="shared" si="42"/>
        <v>0</v>
      </c>
      <c r="AS117" s="23" t="b">
        <v>0</v>
      </c>
      <c r="AT117" s="23" t="b">
        <f t="shared" si="43"/>
        <v>0</v>
      </c>
      <c r="AU117" s="23" t="b">
        <f t="shared" si="44"/>
        <v>0</v>
      </c>
      <c r="AV117" s="23" t="b">
        <f t="shared" si="45"/>
        <v>0</v>
      </c>
      <c r="AW117" s="23" t="b">
        <f t="shared" si="46"/>
        <v>0</v>
      </c>
      <c r="AX117" s="23" t="s">
        <v>99</v>
      </c>
      <c r="AY117" s="23" t="b">
        <v>0</v>
      </c>
      <c r="AZ117" s="23" t="s">
        <v>105</v>
      </c>
    </row>
    <row r="118" spans="1:52" x14ac:dyDescent="0.2">
      <c r="A118" s="23">
        <v>165</v>
      </c>
      <c r="B118" s="23" t="s">
        <v>549</v>
      </c>
      <c r="C118" s="23" t="s">
        <v>686</v>
      </c>
      <c r="D118" s="23" t="b">
        <v>1</v>
      </c>
      <c r="E118" s="23" t="s">
        <v>687</v>
      </c>
      <c r="F118" s="23" t="s">
        <v>688</v>
      </c>
      <c r="G118" s="23" t="s">
        <v>92</v>
      </c>
      <c r="H118" s="23" t="s">
        <v>116</v>
      </c>
      <c r="I118" s="23" t="s">
        <v>689</v>
      </c>
      <c r="J118" s="23" t="s">
        <v>95</v>
      </c>
      <c r="K118" s="23" t="s">
        <v>118</v>
      </c>
      <c r="L118" s="23" t="s">
        <v>162</v>
      </c>
      <c r="Q118" s="23">
        <v>2022</v>
      </c>
      <c r="R118" s="23" t="s">
        <v>119</v>
      </c>
      <c r="T118" s="23" t="s">
        <v>243</v>
      </c>
      <c r="U118" s="23" t="s">
        <v>244</v>
      </c>
      <c r="V118" s="23" t="s">
        <v>223</v>
      </c>
      <c r="W118" s="23" t="s">
        <v>121</v>
      </c>
      <c r="X118" s="23" t="s">
        <v>104</v>
      </c>
      <c r="Y118" s="23" t="b">
        <f t="shared" si="24"/>
        <v>0</v>
      </c>
      <c r="Z118" s="23" t="b">
        <f t="shared" si="25"/>
        <v>0</v>
      </c>
      <c r="AA118" s="23" t="b">
        <f t="shared" si="26"/>
        <v>0</v>
      </c>
      <c r="AB118" s="23" t="b">
        <f t="shared" si="27"/>
        <v>0</v>
      </c>
      <c r="AC118" s="23" t="b">
        <f t="shared" si="28"/>
        <v>0</v>
      </c>
      <c r="AD118" s="23" t="b">
        <f t="shared" si="29"/>
        <v>0</v>
      </c>
      <c r="AE118" s="23" t="b">
        <f t="shared" si="30"/>
        <v>0</v>
      </c>
      <c r="AF118" s="23" t="b">
        <f t="shared" si="31"/>
        <v>0</v>
      </c>
      <c r="AG118" s="23" t="b">
        <f t="shared" si="32"/>
        <v>0</v>
      </c>
      <c r="AH118" s="23" t="b">
        <f t="shared" si="33"/>
        <v>0</v>
      </c>
      <c r="AI118" s="23" t="b">
        <f t="shared" si="34"/>
        <v>0</v>
      </c>
      <c r="AJ118" s="23" t="b">
        <v>0</v>
      </c>
      <c r="AK118" s="23" t="b">
        <f t="shared" si="35"/>
        <v>0</v>
      </c>
      <c r="AL118" s="23" t="b">
        <f t="shared" si="36"/>
        <v>0</v>
      </c>
      <c r="AM118" s="23" t="b">
        <f t="shared" si="37"/>
        <v>0</v>
      </c>
      <c r="AN118" s="23" t="b">
        <f t="shared" si="38"/>
        <v>0</v>
      </c>
      <c r="AO118" s="23" t="b">
        <f t="shared" si="39"/>
        <v>0</v>
      </c>
      <c r="AP118" s="23" t="b">
        <f t="shared" si="40"/>
        <v>1</v>
      </c>
      <c r="AQ118" s="23" t="b">
        <f t="shared" si="41"/>
        <v>0</v>
      </c>
      <c r="AR118" s="23" t="b">
        <f t="shared" si="42"/>
        <v>1</v>
      </c>
      <c r="AS118" s="23" t="b">
        <v>0</v>
      </c>
      <c r="AT118" s="23" t="b">
        <f t="shared" si="43"/>
        <v>0</v>
      </c>
      <c r="AU118" s="23" t="b">
        <f t="shared" si="44"/>
        <v>0</v>
      </c>
      <c r="AV118" s="23" t="b">
        <f t="shared" si="45"/>
        <v>0</v>
      </c>
      <c r="AW118" s="23" t="b">
        <f t="shared" si="46"/>
        <v>0</v>
      </c>
      <c r="AX118" s="23" t="s">
        <v>99</v>
      </c>
      <c r="AY118" s="23" t="b">
        <v>0</v>
      </c>
      <c r="AZ118" s="23" t="s">
        <v>105</v>
      </c>
    </row>
    <row r="119" spans="1:52" x14ac:dyDescent="0.2">
      <c r="A119" s="23">
        <v>166</v>
      </c>
      <c r="B119" s="23" t="s">
        <v>549</v>
      </c>
      <c r="C119" s="23" t="s">
        <v>690</v>
      </c>
      <c r="D119" s="23" t="b">
        <v>1</v>
      </c>
      <c r="E119" s="23" t="s">
        <v>691</v>
      </c>
      <c r="F119" s="23" t="s">
        <v>692</v>
      </c>
      <c r="G119" s="23" t="s">
        <v>92</v>
      </c>
      <c r="H119" s="23" t="s">
        <v>116</v>
      </c>
      <c r="I119" s="23" t="s">
        <v>693</v>
      </c>
      <c r="J119" s="23" t="s">
        <v>95</v>
      </c>
      <c r="K119" s="23" t="s">
        <v>118</v>
      </c>
      <c r="L119" s="23" t="s">
        <v>162</v>
      </c>
      <c r="Q119" s="23">
        <v>2022</v>
      </c>
      <c r="R119" s="23" t="s">
        <v>119</v>
      </c>
      <c r="T119" s="23" t="s">
        <v>243</v>
      </c>
      <c r="U119" s="23" t="s">
        <v>244</v>
      </c>
      <c r="V119" s="23" t="s">
        <v>223</v>
      </c>
      <c r="W119" s="23" t="s">
        <v>121</v>
      </c>
      <c r="X119" s="23" t="s">
        <v>104</v>
      </c>
      <c r="Y119" s="23" t="b">
        <f t="shared" si="24"/>
        <v>0</v>
      </c>
      <c r="Z119" s="23" t="b">
        <f t="shared" si="25"/>
        <v>0</v>
      </c>
      <c r="AA119" s="23" t="b">
        <f t="shared" si="26"/>
        <v>0</v>
      </c>
      <c r="AB119" s="23" t="b">
        <f t="shared" si="27"/>
        <v>0</v>
      </c>
      <c r="AC119" s="23" t="b">
        <f t="shared" si="28"/>
        <v>0</v>
      </c>
      <c r="AD119" s="23" t="b">
        <f t="shared" si="29"/>
        <v>0</v>
      </c>
      <c r="AE119" s="23" t="b">
        <f t="shared" si="30"/>
        <v>0</v>
      </c>
      <c r="AF119" s="23" t="b">
        <f t="shared" si="31"/>
        <v>0</v>
      </c>
      <c r="AG119" s="23" t="b">
        <f t="shared" si="32"/>
        <v>0</v>
      </c>
      <c r="AH119" s="23" t="b">
        <f t="shared" si="33"/>
        <v>0</v>
      </c>
      <c r="AI119" s="23" t="b">
        <f t="shared" si="34"/>
        <v>0</v>
      </c>
      <c r="AJ119" s="23" t="b">
        <v>0</v>
      </c>
      <c r="AK119" s="23" t="b">
        <f t="shared" si="35"/>
        <v>0</v>
      </c>
      <c r="AL119" s="23" t="b">
        <f t="shared" si="36"/>
        <v>0</v>
      </c>
      <c r="AM119" s="23" t="b">
        <f t="shared" si="37"/>
        <v>0</v>
      </c>
      <c r="AN119" s="23" t="b">
        <f t="shared" si="38"/>
        <v>0</v>
      </c>
      <c r="AO119" s="23" t="b">
        <f t="shared" si="39"/>
        <v>0</v>
      </c>
      <c r="AP119" s="23" t="b">
        <f t="shared" si="40"/>
        <v>1</v>
      </c>
      <c r="AQ119" s="23" t="b">
        <f t="shared" si="41"/>
        <v>0</v>
      </c>
      <c r="AR119" s="23" t="b">
        <f t="shared" si="42"/>
        <v>1</v>
      </c>
      <c r="AS119" s="23" t="b">
        <v>0</v>
      </c>
      <c r="AT119" s="23" t="b">
        <f t="shared" si="43"/>
        <v>0</v>
      </c>
      <c r="AU119" s="23" t="b">
        <f t="shared" si="44"/>
        <v>0</v>
      </c>
      <c r="AV119" s="23" t="b">
        <f t="shared" si="45"/>
        <v>0</v>
      </c>
      <c r="AW119" s="23" t="b">
        <f t="shared" si="46"/>
        <v>0</v>
      </c>
      <c r="AX119" s="23" t="s">
        <v>99</v>
      </c>
      <c r="AY119" s="23" t="b">
        <v>0</v>
      </c>
      <c r="AZ119" s="23" t="s">
        <v>105</v>
      </c>
    </row>
    <row r="120" spans="1:52" x14ac:dyDescent="0.2">
      <c r="A120" s="23">
        <v>167</v>
      </c>
      <c r="B120" s="23" t="s">
        <v>694</v>
      </c>
      <c r="C120" s="23" t="s">
        <v>695</v>
      </c>
      <c r="D120" s="23" t="b">
        <v>1</v>
      </c>
      <c r="E120" s="23" t="s">
        <v>696</v>
      </c>
      <c r="F120" s="23" t="s">
        <v>697</v>
      </c>
      <c r="G120" s="23" t="s">
        <v>92</v>
      </c>
      <c r="H120" s="23" t="s">
        <v>388</v>
      </c>
      <c r="J120" s="23" t="s">
        <v>240</v>
      </c>
      <c r="K120" s="23" t="s">
        <v>698</v>
      </c>
      <c r="Q120" s="23">
        <v>2018</v>
      </c>
      <c r="R120" s="23" t="s">
        <v>242</v>
      </c>
      <c r="T120" s="23" t="s">
        <v>212</v>
      </c>
      <c r="U120" s="23" t="s">
        <v>111</v>
      </c>
      <c r="V120" s="23" t="s">
        <v>112</v>
      </c>
      <c r="W120" s="23" t="s">
        <v>103</v>
      </c>
      <c r="X120" s="23" t="s">
        <v>104</v>
      </c>
      <c r="Y120" s="23" t="b">
        <f t="shared" si="24"/>
        <v>0</v>
      </c>
      <c r="Z120" s="23" t="b">
        <f t="shared" si="25"/>
        <v>0</v>
      </c>
      <c r="AA120" s="23" t="b">
        <f t="shared" si="26"/>
        <v>0</v>
      </c>
      <c r="AB120" s="23" t="b">
        <f t="shared" si="27"/>
        <v>0</v>
      </c>
      <c r="AC120" s="23" t="b">
        <f t="shared" si="28"/>
        <v>0</v>
      </c>
      <c r="AD120" s="23" t="b">
        <f t="shared" si="29"/>
        <v>0</v>
      </c>
      <c r="AE120" s="23" t="b">
        <f t="shared" si="30"/>
        <v>0</v>
      </c>
      <c r="AF120" s="23" t="b">
        <f t="shared" si="31"/>
        <v>0</v>
      </c>
      <c r="AG120" s="23" t="b">
        <f t="shared" si="32"/>
        <v>0</v>
      </c>
      <c r="AH120" s="23" t="b">
        <f t="shared" si="33"/>
        <v>0</v>
      </c>
      <c r="AI120" s="23" t="b">
        <f t="shared" si="34"/>
        <v>0</v>
      </c>
      <c r="AJ120" s="23" t="b">
        <v>1</v>
      </c>
      <c r="AK120" s="23" t="b">
        <f t="shared" si="35"/>
        <v>0</v>
      </c>
      <c r="AL120" s="23" t="b">
        <f t="shared" si="36"/>
        <v>0</v>
      </c>
      <c r="AM120" s="23" t="b">
        <f t="shared" si="37"/>
        <v>0</v>
      </c>
      <c r="AN120" s="23" t="b">
        <f t="shared" si="38"/>
        <v>0</v>
      </c>
      <c r="AO120" s="23" t="b">
        <f t="shared" si="39"/>
        <v>0</v>
      </c>
      <c r="AP120" s="23" t="b">
        <f t="shared" si="40"/>
        <v>0</v>
      </c>
      <c r="AQ120" s="23" t="b">
        <f t="shared" si="41"/>
        <v>0</v>
      </c>
      <c r="AR120" s="23" t="b">
        <f t="shared" si="42"/>
        <v>0</v>
      </c>
      <c r="AS120" s="23" t="b">
        <v>1</v>
      </c>
      <c r="AT120" s="23" t="b">
        <f t="shared" si="43"/>
        <v>0</v>
      </c>
      <c r="AU120" s="23" t="b">
        <f t="shared" si="44"/>
        <v>0</v>
      </c>
      <c r="AV120" s="23" t="b">
        <f t="shared" si="45"/>
        <v>0</v>
      </c>
      <c r="AW120" s="23" t="b">
        <f t="shared" si="46"/>
        <v>0</v>
      </c>
      <c r="AX120" s="23" t="s">
        <v>242</v>
      </c>
      <c r="AY120" s="23" t="b">
        <v>1</v>
      </c>
      <c r="AZ120" s="23" t="s">
        <v>105</v>
      </c>
    </row>
    <row r="121" spans="1:52" x14ac:dyDescent="0.2">
      <c r="A121" s="23">
        <v>168</v>
      </c>
      <c r="B121" s="23" t="s">
        <v>694</v>
      </c>
      <c r="C121" s="23" t="s">
        <v>699</v>
      </c>
      <c r="D121" s="23" t="b">
        <v>1</v>
      </c>
      <c r="E121" s="23" t="s">
        <v>700</v>
      </c>
      <c r="F121" s="23" t="s">
        <v>701</v>
      </c>
      <c r="G121" s="23" t="s">
        <v>92</v>
      </c>
      <c r="H121" s="23" t="s">
        <v>388</v>
      </c>
      <c r="J121" s="23" t="s">
        <v>240</v>
      </c>
      <c r="K121" s="23" t="s">
        <v>702</v>
      </c>
      <c r="Q121" s="23">
        <v>2018</v>
      </c>
      <c r="R121" s="23" t="s">
        <v>242</v>
      </c>
      <c r="T121" s="23" t="s">
        <v>146</v>
      </c>
      <c r="U121" s="23" t="s">
        <v>111</v>
      </c>
      <c r="V121" s="23" t="s">
        <v>112</v>
      </c>
      <c r="W121" s="23" t="s">
        <v>103</v>
      </c>
      <c r="X121" s="23" t="s">
        <v>104</v>
      </c>
      <c r="Y121" s="23" t="b">
        <f t="shared" si="24"/>
        <v>0</v>
      </c>
      <c r="Z121" s="23" t="b">
        <f t="shared" si="25"/>
        <v>0</v>
      </c>
      <c r="AA121" s="23" t="b">
        <f t="shared" si="26"/>
        <v>0</v>
      </c>
      <c r="AB121" s="23" t="b">
        <f t="shared" si="27"/>
        <v>0</v>
      </c>
      <c r="AC121" s="23" t="b">
        <f t="shared" si="28"/>
        <v>0</v>
      </c>
      <c r="AD121" s="23" t="b">
        <f t="shared" si="29"/>
        <v>0</v>
      </c>
      <c r="AE121" s="23" t="b">
        <f t="shared" si="30"/>
        <v>0</v>
      </c>
      <c r="AF121" s="23" t="b">
        <f t="shared" si="31"/>
        <v>0</v>
      </c>
      <c r="AG121" s="23" t="b">
        <f t="shared" si="32"/>
        <v>0</v>
      </c>
      <c r="AH121" s="23" t="b">
        <f t="shared" si="33"/>
        <v>0</v>
      </c>
      <c r="AI121" s="23" t="b">
        <f t="shared" si="34"/>
        <v>0</v>
      </c>
      <c r="AJ121" s="23" t="b">
        <v>1</v>
      </c>
      <c r="AK121" s="23" t="b">
        <f t="shared" si="35"/>
        <v>0</v>
      </c>
      <c r="AL121" s="23" t="b">
        <f t="shared" si="36"/>
        <v>0</v>
      </c>
      <c r="AM121" s="23" t="b">
        <f t="shared" si="37"/>
        <v>0</v>
      </c>
      <c r="AN121" s="23" t="b">
        <f t="shared" si="38"/>
        <v>0</v>
      </c>
      <c r="AO121" s="23" t="b">
        <f t="shared" si="39"/>
        <v>0</v>
      </c>
      <c r="AP121" s="23" t="b">
        <f t="shared" si="40"/>
        <v>0</v>
      </c>
      <c r="AQ121" s="23" t="b">
        <f t="shared" si="41"/>
        <v>0</v>
      </c>
      <c r="AR121" s="23" t="b">
        <f t="shared" si="42"/>
        <v>0</v>
      </c>
      <c r="AS121" s="23" t="b">
        <v>1</v>
      </c>
      <c r="AT121" s="23" t="b">
        <f t="shared" si="43"/>
        <v>0</v>
      </c>
      <c r="AU121" s="23" t="b">
        <f t="shared" si="44"/>
        <v>0</v>
      </c>
      <c r="AV121" s="23" t="b">
        <f t="shared" si="45"/>
        <v>0</v>
      </c>
      <c r="AW121" s="23" t="b">
        <f t="shared" si="46"/>
        <v>0</v>
      </c>
      <c r="AX121" s="23" t="s">
        <v>242</v>
      </c>
      <c r="AY121" s="23" t="b">
        <v>1</v>
      </c>
      <c r="AZ121" s="23" t="s">
        <v>105</v>
      </c>
    </row>
    <row r="122" spans="1:52" x14ac:dyDescent="0.2">
      <c r="A122" s="23">
        <v>169</v>
      </c>
      <c r="B122" s="23" t="s">
        <v>703</v>
      </c>
      <c r="C122" s="23" t="s">
        <v>704</v>
      </c>
      <c r="D122" s="23" t="b">
        <v>1</v>
      </c>
      <c r="E122" s="23" t="s">
        <v>705</v>
      </c>
      <c r="F122" s="23" t="s">
        <v>706</v>
      </c>
      <c r="G122" s="23" t="s">
        <v>92</v>
      </c>
      <c r="H122" s="23" t="s">
        <v>707</v>
      </c>
      <c r="J122" s="23" t="s">
        <v>708</v>
      </c>
      <c r="K122" s="23" t="s">
        <v>709</v>
      </c>
      <c r="P122" s="23">
        <v>2005</v>
      </c>
      <c r="Q122" s="23">
        <v>2019</v>
      </c>
      <c r="R122" s="23" t="s">
        <v>710</v>
      </c>
      <c r="S122" s="23" t="s">
        <v>711</v>
      </c>
      <c r="T122" s="23" t="s">
        <v>198</v>
      </c>
      <c r="U122" s="23" t="s">
        <v>199</v>
      </c>
      <c r="V122" s="23" t="s">
        <v>398</v>
      </c>
      <c r="W122" s="23" t="s">
        <v>712</v>
      </c>
      <c r="X122" s="23" t="s">
        <v>104</v>
      </c>
      <c r="Y122" s="23" t="b">
        <f t="shared" si="24"/>
        <v>0</v>
      </c>
      <c r="Z122" s="23" t="b">
        <f t="shared" si="25"/>
        <v>0</v>
      </c>
      <c r="AA122" s="23" t="b">
        <f t="shared" si="26"/>
        <v>0</v>
      </c>
      <c r="AB122" s="23" t="b">
        <f t="shared" si="27"/>
        <v>0</v>
      </c>
      <c r="AC122" s="23" t="b">
        <f t="shared" si="28"/>
        <v>0</v>
      </c>
      <c r="AD122" s="23" t="b">
        <f t="shared" si="29"/>
        <v>0</v>
      </c>
      <c r="AE122" s="23" t="b">
        <f t="shared" si="30"/>
        <v>0</v>
      </c>
      <c r="AF122" s="23" t="b">
        <f t="shared" si="31"/>
        <v>0</v>
      </c>
      <c r="AG122" s="23" t="b">
        <f t="shared" si="32"/>
        <v>0</v>
      </c>
      <c r="AH122" s="23" t="b">
        <f t="shared" si="33"/>
        <v>0</v>
      </c>
      <c r="AI122" s="23" t="b">
        <f t="shared" si="34"/>
        <v>0</v>
      </c>
      <c r="AJ122" s="23" t="b">
        <v>0</v>
      </c>
      <c r="AK122" s="23" t="b">
        <f t="shared" si="35"/>
        <v>0</v>
      </c>
      <c r="AL122" s="23" t="b">
        <f t="shared" si="36"/>
        <v>0</v>
      </c>
      <c r="AM122" s="23" t="b">
        <f t="shared" si="37"/>
        <v>0</v>
      </c>
      <c r="AN122" s="23" t="b">
        <f t="shared" si="38"/>
        <v>0</v>
      </c>
      <c r="AO122" s="23" t="b">
        <f t="shared" si="39"/>
        <v>0</v>
      </c>
      <c r="AP122" s="23" t="b">
        <f t="shared" si="40"/>
        <v>0</v>
      </c>
      <c r="AQ122" s="23" t="b">
        <f t="shared" si="41"/>
        <v>0</v>
      </c>
      <c r="AR122" s="23" t="b">
        <f t="shared" si="42"/>
        <v>0</v>
      </c>
      <c r="AS122" s="23" t="b">
        <v>0</v>
      </c>
      <c r="AT122" s="23" t="b">
        <f t="shared" si="43"/>
        <v>0</v>
      </c>
      <c r="AU122" s="23" t="b">
        <f t="shared" si="44"/>
        <v>0</v>
      </c>
      <c r="AV122" s="23" t="b">
        <f t="shared" si="45"/>
        <v>0</v>
      </c>
      <c r="AW122" s="23" t="b">
        <f t="shared" si="46"/>
        <v>0</v>
      </c>
      <c r="AX122" s="23" t="s">
        <v>710</v>
      </c>
      <c r="AY122" s="23" t="b">
        <v>0</v>
      </c>
      <c r="AZ122" s="23" t="s">
        <v>713</v>
      </c>
    </row>
    <row r="123" spans="1:52" x14ac:dyDescent="0.2">
      <c r="A123" s="23">
        <v>170</v>
      </c>
      <c r="B123" s="23" t="s">
        <v>703</v>
      </c>
      <c r="C123" s="23" t="s">
        <v>714</v>
      </c>
      <c r="D123" s="23" t="b">
        <v>1</v>
      </c>
      <c r="E123" s="23" t="s">
        <v>715</v>
      </c>
      <c r="F123" s="23" t="s">
        <v>706</v>
      </c>
      <c r="G123" s="23" t="s">
        <v>92</v>
      </c>
      <c r="H123" s="23" t="s">
        <v>707</v>
      </c>
      <c r="J123" s="23" t="s">
        <v>708</v>
      </c>
      <c r="K123" s="23" t="s">
        <v>709</v>
      </c>
      <c r="P123" s="23">
        <v>2005</v>
      </c>
      <c r="Q123" s="23">
        <v>2019</v>
      </c>
      <c r="R123" s="23" t="s">
        <v>710</v>
      </c>
      <c r="S123" s="23" t="s">
        <v>711</v>
      </c>
      <c r="T123" s="23" t="s">
        <v>198</v>
      </c>
      <c r="U123" s="23" t="s">
        <v>199</v>
      </c>
      <c r="V123" s="23" t="s">
        <v>398</v>
      </c>
      <c r="W123" s="23" t="s">
        <v>712</v>
      </c>
      <c r="X123" s="23" t="s">
        <v>104</v>
      </c>
      <c r="Y123" s="23" t="b">
        <f t="shared" si="24"/>
        <v>0</v>
      </c>
      <c r="Z123" s="23" t="b">
        <f t="shared" si="25"/>
        <v>0</v>
      </c>
      <c r="AA123" s="23" t="b">
        <f t="shared" si="26"/>
        <v>0</v>
      </c>
      <c r="AB123" s="23" t="b">
        <f t="shared" si="27"/>
        <v>0</v>
      </c>
      <c r="AC123" s="23" t="b">
        <f t="shared" si="28"/>
        <v>0</v>
      </c>
      <c r="AD123" s="23" t="b">
        <f t="shared" si="29"/>
        <v>0</v>
      </c>
      <c r="AE123" s="23" t="b">
        <f t="shared" si="30"/>
        <v>0</v>
      </c>
      <c r="AF123" s="23" t="b">
        <f t="shared" si="31"/>
        <v>0</v>
      </c>
      <c r="AG123" s="23" t="b">
        <f t="shared" si="32"/>
        <v>0</v>
      </c>
      <c r="AH123" s="23" t="b">
        <f t="shared" si="33"/>
        <v>0</v>
      </c>
      <c r="AI123" s="23" t="b">
        <f t="shared" si="34"/>
        <v>0</v>
      </c>
      <c r="AJ123" s="23" t="b">
        <v>0</v>
      </c>
      <c r="AK123" s="23" t="b">
        <f t="shared" si="35"/>
        <v>0</v>
      </c>
      <c r="AL123" s="23" t="b">
        <f t="shared" si="36"/>
        <v>0</v>
      </c>
      <c r="AM123" s="23" t="b">
        <f t="shared" si="37"/>
        <v>0</v>
      </c>
      <c r="AN123" s="23" t="b">
        <f t="shared" si="38"/>
        <v>0</v>
      </c>
      <c r="AO123" s="23" t="b">
        <f t="shared" si="39"/>
        <v>0</v>
      </c>
      <c r="AP123" s="23" t="b">
        <f t="shared" si="40"/>
        <v>0</v>
      </c>
      <c r="AQ123" s="23" t="b">
        <f t="shared" si="41"/>
        <v>0</v>
      </c>
      <c r="AR123" s="23" t="b">
        <f t="shared" si="42"/>
        <v>0</v>
      </c>
      <c r="AS123" s="23" t="b">
        <v>0</v>
      </c>
      <c r="AT123" s="23" t="b">
        <f t="shared" si="43"/>
        <v>0</v>
      </c>
      <c r="AU123" s="23" t="b">
        <f t="shared" si="44"/>
        <v>0</v>
      </c>
      <c r="AV123" s="23" t="b">
        <f t="shared" si="45"/>
        <v>0</v>
      </c>
      <c r="AW123" s="23" t="b">
        <f t="shared" si="46"/>
        <v>0</v>
      </c>
      <c r="AX123" s="23" t="s">
        <v>710</v>
      </c>
      <c r="AY123" s="23" t="b">
        <v>0</v>
      </c>
      <c r="AZ123" s="23" t="s">
        <v>713</v>
      </c>
    </row>
    <row r="124" spans="1:52" x14ac:dyDescent="0.2">
      <c r="A124" s="23">
        <v>171</v>
      </c>
      <c r="B124" s="23" t="s">
        <v>703</v>
      </c>
      <c r="C124" s="23" t="s">
        <v>716</v>
      </c>
      <c r="D124" s="23" t="b">
        <v>1</v>
      </c>
      <c r="E124" s="23" t="s">
        <v>717</v>
      </c>
      <c r="F124" s="23" t="s">
        <v>706</v>
      </c>
      <c r="G124" s="23" t="s">
        <v>92</v>
      </c>
      <c r="H124" s="23" t="s">
        <v>707</v>
      </c>
      <c r="J124" s="23" t="s">
        <v>708</v>
      </c>
      <c r="K124" s="23" t="s">
        <v>709</v>
      </c>
      <c r="P124" s="23">
        <v>2007</v>
      </c>
      <c r="Q124" s="23">
        <v>2019</v>
      </c>
      <c r="R124" s="23" t="s">
        <v>710</v>
      </c>
      <c r="S124" s="23" t="s">
        <v>711</v>
      </c>
      <c r="T124" s="23" t="s">
        <v>198</v>
      </c>
      <c r="U124" s="23" t="s">
        <v>199</v>
      </c>
      <c r="V124" s="23" t="s">
        <v>398</v>
      </c>
      <c r="W124" s="23" t="s">
        <v>712</v>
      </c>
      <c r="X124" s="23" t="s">
        <v>104</v>
      </c>
      <c r="Y124" s="23" t="b">
        <f t="shared" si="24"/>
        <v>0</v>
      </c>
      <c r="Z124" s="23" t="b">
        <f t="shared" si="25"/>
        <v>0</v>
      </c>
      <c r="AA124" s="23" t="b">
        <f t="shared" si="26"/>
        <v>0</v>
      </c>
      <c r="AB124" s="23" t="b">
        <f t="shared" si="27"/>
        <v>0</v>
      </c>
      <c r="AC124" s="23" t="b">
        <f t="shared" si="28"/>
        <v>0</v>
      </c>
      <c r="AD124" s="23" t="b">
        <f t="shared" si="29"/>
        <v>0</v>
      </c>
      <c r="AE124" s="23" t="b">
        <f t="shared" si="30"/>
        <v>0</v>
      </c>
      <c r="AF124" s="23" t="b">
        <f t="shared" si="31"/>
        <v>0</v>
      </c>
      <c r="AG124" s="23" t="b">
        <f t="shared" si="32"/>
        <v>0</v>
      </c>
      <c r="AH124" s="23" t="b">
        <f t="shared" si="33"/>
        <v>0</v>
      </c>
      <c r="AI124" s="23" t="b">
        <f t="shared" si="34"/>
        <v>0</v>
      </c>
      <c r="AJ124" s="23" t="b">
        <v>0</v>
      </c>
      <c r="AK124" s="23" t="b">
        <f t="shared" si="35"/>
        <v>0</v>
      </c>
      <c r="AL124" s="23" t="b">
        <f t="shared" si="36"/>
        <v>0</v>
      </c>
      <c r="AM124" s="23" t="b">
        <f t="shared" si="37"/>
        <v>0</v>
      </c>
      <c r="AN124" s="23" t="b">
        <f t="shared" si="38"/>
        <v>0</v>
      </c>
      <c r="AO124" s="23" t="b">
        <f t="shared" si="39"/>
        <v>0</v>
      </c>
      <c r="AP124" s="23" t="b">
        <f t="shared" si="40"/>
        <v>0</v>
      </c>
      <c r="AQ124" s="23" t="b">
        <f t="shared" si="41"/>
        <v>0</v>
      </c>
      <c r="AR124" s="23" t="b">
        <f t="shared" si="42"/>
        <v>0</v>
      </c>
      <c r="AS124" s="23" t="b">
        <v>0</v>
      </c>
      <c r="AT124" s="23" t="b">
        <f t="shared" si="43"/>
        <v>0</v>
      </c>
      <c r="AU124" s="23" t="b">
        <f t="shared" si="44"/>
        <v>0</v>
      </c>
      <c r="AV124" s="23" t="b">
        <f t="shared" si="45"/>
        <v>0</v>
      </c>
      <c r="AW124" s="23" t="b">
        <f t="shared" si="46"/>
        <v>0</v>
      </c>
      <c r="AX124" s="23" t="s">
        <v>710</v>
      </c>
      <c r="AY124" s="23" t="b">
        <v>0</v>
      </c>
      <c r="AZ124" s="23" t="s">
        <v>713</v>
      </c>
    </row>
    <row r="125" spans="1:52" x14ac:dyDescent="0.2">
      <c r="A125" s="23">
        <v>172</v>
      </c>
      <c r="B125" s="23" t="s">
        <v>703</v>
      </c>
      <c r="C125" s="23" t="s">
        <v>718</v>
      </c>
      <c r="D125" s="23" t="b">
        <v>1</v>
      </c>
      <c r="E125" s="23" t="s">
        <v>717</v>
      </c>
      <c r="F125" s="23" t="s">
        <v>706</v>
      </c>
      <c r="G125" s="23" t="s">
        <v>92</v>
      </c>
      <c r="H125" s="23" t="s">
        <v>707</v>
      </c>
      <c r="J125" s="23" t="s">
        <v>708</v>
      </c>
      <c r="K125" s="23" t="s">
        <v>709</v>
      </c>
      <c r="P125" s="23">
        <v>2016</v>
      </c>
      <c r="Q125" s="23">
        <v>2024</v>
      </c>
      <c r="R125" s="23" t="s">
        <v>710</v>
      </c>
      <c r="S125" s="23" t="s">
        <v>711</v>
      </c>
      <c r="T125" s="23" t="s">
        <v>198</v>
      </c>
      <c r="U125" s="23" t="s">
        <v>199</v>
      </c>
      <c r="V125" s="23" t="s">
        <v>398</v>
      </c>
      <c r="W125" s="23" t="s">
        <v>712</v>
      </c>
      <c r="X125" s="23" t="s">
        <v>104</v>
      </c>
      <c r="Y125" s="23" t="b">
        <f t="shared" si="24"/>
        <v>0</v>
      </c>
      <c r="Z125" s="23" t="b">
        <f t="shared" si="25"/>
        <v>0</v>
      </c>
      <c r="AA125" s="23" t="b">
        <f t="shared" si="26"/>
        <v>0</v>
      </c>
      <c r="AB125" s="23" t="b">
        <f t="shared" si="27"/>
        <v>0</v>
      </c>
      <c r="AC125" s="23" t="b">
        <f t="shared" si="28"/>
        <v>0</v>
      </c>
      <c r="AD125" s="23" t="b">
        <f t="shared" si="29"/>
        <v>0</v>
      </c>
      <c r="AE125" s="23" t="b">
        <f t="shared" si="30"/>
        <v>0</v>
      </c>
      <c r="AF125" s="23" t="b">
        <f t="shared" si="31"/>
        <v>0</v>
      </c>
      <c r="AG125" s="23" t="b">
        <f t="shared" si="32"/>
        <v>0</v>
      </c>
      <c r="AH125" s="23" t="b">
        <f t="shared" si="33"/>
        <v>0</v>
      </c>
      <c r="AI125" s="23" t="b">
        <f t="shared" si="34"/>
        <v>0</v>
      </c>
      <c r="AJ125" s="23" t="b">
        <v>0</v>
      </c>
      <c r="AK125" s="23" t="b">
        <f t="shared" si="35"/>
        <v>0</v>
      </c>
      <c r="AL125" s="23" t="b">
        <f t="shared" si="36"/>
        <v>0</v>
      </c>
      <c r="AM125" s="23" t="b">
        <f t="shared" si="37"/>
        <v>0</v>
      </c>
      <c r="AN125" s="23" t="b">
        <f t="shared" si="38"/>
        <v>0</v>
      </c>
      <c r="AO125" s="23" t="b">
        <f t="shared" si="39"/>
        <v>0</v>
      </c>
      <c r="AP125" s="23" t="b">
        <f t="shared" si="40"/>
        <v>0</v>
      </c>
      <c r="AQ125" s="23" t="b">
        <f t="shared" si="41"/>
        <v>0</v>
      </c>
      <c r="AR125" s="23" t="b">
        <f t="shared" si="42"/>
        <v>0</v>
      </c>
      <c r="AS125" s="23" t="b">
        <v>0</v>
      </c>
      <c r="AT125" s="23" t="b">
        <f t="shared" si="43"/>
        <v>0</v>
      </c>
      <c r="AU125" s="23" t="b">
        <f t="shared" si="44"/>
        <v>0</v>
      </c>
      <c r="AV125" s="23" t="b">
        <f t="shared" si="45"/>
        <v>0</v>
      </c>
      <c r="AW125" s="23" t="b">
        <f t="shared" si="46"/>
        <v>0</v>
      </c>
      <c r="AX125" s="23" t="s">
        <v>710</v>
      </c>
      <c r="AY125" s="23" t="b">
        <v>0</v>
      </c>
      <c r="AZ125" s="23" t="s">
        <v>713</v>
      </c>
    </row>
    <row r="126" spans="1:52" x14ac:dyDescent="0.2">
      <c r="A126" s="23">
        <v>173</v>
      </c>
      <c r="B126" s="23" t="s">
        <v>703</v>
      </c>
      <c r="C126" s="23" t="s">
        <v>719</v>
      </c>
      <c r="D126" s="23" t="b">
        <v>1</v>
      </c>
      <c r="E126" s="23" t="s">
        <v>720</v>
      </c>
      <c r="F126" s="23" t="s">
        <v>706</v>
      </c>
      <c r="G126" s="23" t="s">
        <v>92</v>
      </c>
      <c r="H126" s="23" t="s">
        <v>707</v>
      </c>
      <c r="J126" s="23" t="s">
        <v>708</v>
      </c>
      <c r="K126" s="23" t="s">
        <v>709</v>
      </c>
      <c r="P126" s="23">
        <v>2016</v>
      </c>
      <c r="Q126" s="23">
        <v>2024</v>
      </c>
      <c r="R126" s="23" t="s">
        <v>710</v>
      </c>
      <c r="S126" s="23" t="s">
        <v>711</v>
      </c>
      <c r="T126" s="23" t="s">
        <v>198</v>
      </c>
      <c r="U126" s="23" t="s">
        <v>199</v>
      </c>
      <c r="V126" s="23" t="s">
        <v>398</v>
      </c>
      <c r="W126" s="23" t="s">
        <v>712</v>
      </c>
      <c r="X126" s="23" t="s">
        <v>104</v>
      </c>
      <c r="Y126" s="23" t="b">
        <f t="shared" si="24"/>
        <v>0</v>
      </c>
      <c r="Z126" s="23" t="b">
        <f t="shared" si="25"/>
        <v>0</v>
      </c>
      <c r="AA126" s="23" t="b">
        <f t="shared" si="26"/>
        <v>0</v>
      </c>
      <c r="AB126" s="23" t="b">
        <f t="shared" si="27"/>
        <v>0</v>
      </c>
      <c r="AC126" s="23" t="b">
        <f t="shared" si="28"/>
        <v>0</v>
      </c>
      <c r="AD126" s="23" t="b">
        <f t="shared" si="29"/>
        <v>0</v>
      </c>
      <c r="AE126" s="23" t="b">
        <f t="shared" si="30"/>
        <v>0</v>
      </c>
      <c r="AF126" s="23" t="b">
        <f t="shared" si="31"/>
        <v>0</v>
      </c>
      <c r="AG126" s="23" t="b">
        <f t="shared" si="32"/>
        <v>0</v>
      </c>
      <c r="AH126" s="23" t="b">
        <f t="shared" si="33"/>
        <v>0</v>
      </c>
      <c r="AI126" s="23" t="b">
        <f t="shared" si="34"/>
        <v>0</v>
      </c>
      <c r="AJ126" s="23" t="b">
        <v>0</v>
      </c>
      <c r="AK126" s="23" t="b">
        <f t="shared" si="35"/>
        <v>0</v>
      </c>
      <c r="AL126" s="23" t="b">
        <f t="shared" si="36"/>
        <v>0</v>
      </c>
      <c r="AM126" s="23" t="b">
        <f t="shared" si="37"/>
        <v>0</v>
      </c>
      <c r="AN126" s="23" t="b">
        <f t="shared" si="38"/>
        <v>0</v>
      </c>
      <c r="AO126" s="23" t="b">
        <f t="shared" si="39"/>
        <v>0</v>
      </c>
      <c r="AP126" s="23" t="b">
        <f t="shared" si="40"/>
        <v>0</v>
      </c>
      <c r="AQ126" s="23" t="b">
        <f t="shared" si="41"/>
        <v>0</v>
      </c>
      <c r="AR126" s="23" t="b">
        <f t="shared" si="42"/>
        <v>0</v>
      </c>
      <c r="AS126" s="23" t="b">
        <v>0</v>
      </c>
      <c r="AT126" s="23" t="b">
        <f t="shared" si="43"/>
        <v>0</v>
      </c>
      <c r="AU126" s="23" t="b">
        <f t="shared" si="44"/>
        <v>0</v>
      </c>
      <c r="AV126" s="23" t="b">
        <f t="shared" si="45"/>
        <v>0</v>
      </c>
      <c r="AW126" s="23" t="b">
        <f t="shared" si="46"/>
        <v>0</v>
      </c>
      <c r="AX126" s="23" t="s">
        <v>710</v>
      </c>
      <c r="AY126" s="23" t="b">
        <v>0</v>
      </c>
      <c r="AZ126" s="23" t="s">
        <v>713</v>
      </c>
    </row>
    <row r="127" spans="1:52" x14ac:dyDescent="0.2">
      <c r="A127" s="23">
        <v>174</v>
      </c>
      <c r="B127" s="23" t="s">
        <v>703</v>
      </c>
      <c r="C127" s="23" t="s">
        <v>721</v>
      </c>
      <c r="D127" s="23" t="b">
        <v>1</v>
      </c>
      <c r="E127" s="23" t="s">
        <v>722</v>
      </c>
      <c r="F127" s="23" t="s">
        <v>706</v>
      </c>
      <c r="G127" s="23" t="s">
        <v>92</v>
      </c>
      <c r="H127" s="23" t="s">
        <v>707</v>
      </c>
      <c r="J127" s="23" t="s">
        <v>708</v>
      </c>
      <c r="K127" s="23" t="s">
        <v>709</v>
      </c>
      <c r="P127" s="23">
        <v>2016</v>
      </c>
      <c r="Q127" s="23">
        <v>2024</v>
      </c>
      <c r="R127" s="23" t="s">
        <v>710</v>
      </c>
      <c r="S127" s="23" t="s">
        <v>711</v>
      </c>
      <c r="T127" s="23" t="s">
        <v>198</v>
      </c>
      <c r="U127" s="23" t="s">
        <v>199</v>
      </c>
      <c r="V127" s="23" t="s">
        <v>398</v>
      </c>
      <c r="W127" s="23" t="s">
        <v>712</v>
      </c>
      <c r="X127" s="23" t="s">
        <v>104</v>
      </c>
      <c r="Y127" s="23" t="b">
        <f t="shared" si="24"/>
        <v>0</v>
      </c>
      <c r="Z127" s="23" t="b">
        <f t="shared" si="25"/>
        <v>0</v>
      </c>
      <c r="AA127" s="23" t="b">
        <f t="shared" si="26"/>
        <v>0</v>
      </c>
      <c r="AB127" s="23" t="b">
        <f t="shared" si="27"/>
        <v>0</v>
      </c>
      <c r="AC127" s="23" t="b">
        <f t="shared" si="28"/>
        <v>0</v>
      </c>
      <c r="AD127" s="23" t="b">
        <f t="shared" si="29"/>
        <v>0</v>
      </c>
      <c r="AE127" s="23" t="b">
        <f t="shared" si="30"/>
        <v>0</v>
      </c>
      <c r="AF127" s="23" t="b">
        <f t="shared" si="31"/>
        <v>0</v>
      </c>
      <c r="AG127" s="23" t="b">
        <f t="shared" si="32"/>
        <v>0</v>
      </c>
      <c r="AH127" s="23" t="b">
        <f t="shared" si="33"/>
        <v>0</v>
      </c>
      <c r="AI127" s="23" t="b">
        <f t="shared" si="34"/>
        <v>0</v>
      </c>
      <c r="AJ127" s="23" t="b">
        <v>0</v>
      </c>
      <c r="AK127" s="23" t="b">
        <f t="shared" si="35"/>
        <v>0</v>
      </c>
      <c r="AL127" s="23" t="b">
        <f t="shared" si="36"/>
        <v>0</v>
      </c>
      <c r="AM127" s="23" t="b">
        <f t="shared" si="37"/>
        <v>0</v>
      </c>
      <c r="AN127" s="23" t="b">
        <f t="shared" si="38"/>
        <v>0</v>
      </c>
      <c r="AO127" s="23" t="b">
        <f t="shared" si="39"/>
        <v>0</v>
      </c>
      <c r="AP127" s="23" t="b">
        <f t="shared" si="40"/>
        <v>0</v>
      </c>
      <c r="AQ127" s="23" t="b">
        <f t="shared" si="41"/>
        <v>0</v>
      </c>
      <c r="AR127" s="23" t="b">
        <f t="shared" si="42"/>
        <v>0</v>
      </c>
      <c r="AS127" s="23" t="b">
        <v>0</v>
      </c>
      <c r="AT127" s="23" t="b">
        <f t="shared" si="43"/>
        <v>0</v>
      </c>
      <c r="AU127" s="23" t="b">
        <f t="shared" si="44"/>
        <v>0</v>
      </c>
      <c r="AV127" s="23" t="b">
        <f t="shared" si="45"/>
        <v>0</v>
      </c>
      <c r="AW127" s="23" t="b">
        <f t="shared" si="46"/>
        <v>0</v>
      </c>
      <c r="AX127" s="23" t="s">
        <v>710</v>
      </c>
      <c r="AY127" s="23" t="b">
        <v>0</v>
      </c>
      <c r="AZ127" s="23" t="s">
        <v>713</v>
      </c>
    </row>
    <row r="128" spans="1:52" x14ac:dyDescent="0.2">
      <c r="A128" s="23">
        <v>175</v>
      </c>
      <c r="B128" s="23" t="s">
        <v>703</v>
      </c>
      <c r="C128" s="23" t="s">
        <v>723</v>
      </c>
      <c r="D128" s="23" t="b">
        <v>1</v>
      </c>
      <c r="E128" s="23" t="s">
        <v>724</v>
      </c>
      <c r="F128" s="23" t="s">
        <v>706</v>
      </c>
      <c r="G128" s="23" t="s">
        <v>92</v>
      </c>
      <c r="H128" s="23" t="s">
        <v>707</v>
      </c>
      <c r="J128" s="23" t="s">
        <v>708</v>
      </c>
      <c r="K128" s="23" t="s">
        <v>709</v>
      </c>
      <c r="P128" s="23">
        <v>2019</v>
      </c>
      <c r="Q128" s="23">
        <v>2024</v>
      </c>
      <c r="R128" s="23" t="s">
        <v>710</v>
      </c>
      <c r="S128" s="23" t="s">
        <v>711</v>
      </c>
      <c r="T128" s="23" t="s">
        <v>198</v>
      </c>
      <c r="U128" s="23" t="s">
        <v>199</v>
      </c>
      <c r="V128" s="23" t="s">
        <v>398</v>
      </c>
      <c r="W128" s="23" t="s">
        <v>712</v>
      </c>
      <c r="X128" s="23" t="s">
        <v>104</v>
      </c>
      <c r="Y128" s="23" t="b">
        <f t="shared" si="24"/>
        <v>0</v>
      </c>
      <c r="Z128" s="23" t="b">
        <f t="shared" si="25"/>
        <v>0</v>
      </c>
      <c r="AA128" s="23" t="b">
        <f t="shared" si="26"/>
        <v>0</v>
      </c>
      <c r="AB128" s="23" t="b">
        <f t="shared" si="27"/>
        <v>0</v>
      </c>
      <c r="AC128" s="23" t="b">
        <f t="shared" si="28"/>
        <v>0</v>
      </c>
      <c r="AD128" s="23" t="b">
        <f t="shared" si="29"/>
        <v>0</v>
      </c>
      <c r="AE128" s="23" t="b">
        <f t="shared" si="30"/>
        <v>0</v>
      </c>
      <c r="AF128" s="23" t="b">
        <f t="shared" si="31"/>
        <v>0</v>
      </c>
      <c r="AG128" s="23" t="b">
        <f t="shared" si="32"/>
        <v>0</v>
      </c>
      <c r="AH128" s="23" t="b">
        <f t="shared" si="33"/>
        <v>0</v>
      </c>
      <c r="AI128" s="23" t="b">
        <f t="shared" si="34"/>
        <v>0</v>
      </c>
      <c r="AJ128" s="23" t="b">
        <v>0</v>
      </c>
      <c r="AK128" s="23" t="b">
        <f t="shared" si="35"/>
        <v>0</v>
      </c>
      <c r="AL128" s="23" t="b">
        <f t="shared" si="36"/>
        <v>0</v>
      </c>
      <c r="AM128" s="23" t="b">
        <f t="shared" si="37"/>
        <v>0</v>
      </c>
      <c r="AN128" s="23" t="b">
        <f t="shared" si="38"/>
        <v>0</v>
      </c>
      <c r="AO128" s="23" t="b">
        <f t="shared" si="39"/>
        <v>0</v>
      </c>
      <c r="AP128" s="23" t="b">
        <f t="shared" si="40"/>
        <v>0</v>
      </c>
      <c r="AQ128" s="23" t="b">
        <f t="shared" si="41"/>
        <v>0</v>
      </c>
      <c r="AR128" s="23" t="b">
        <f t="shared" si="42"/>
        <v>0</v>
      </c>
      <c r="AS128" s="23" t="b">
        <v>0</v>
      </c>
      <c r="AT128" s="23" t="b">
        <f t="shared" si="43"/>
        <v>0</v>
      </c>
      <c r="AU128" s="23" t="b">
        <f t="shared" si="44"/>
        <v>0</v>
      </c>
      <c r="AV128" s="23" t="b">
        <f t="shared" si="45"/>
        <v>0</v>
      </c>
      <c r="AW128" s="23" t="b">
        <f t="shared" si="46"/>
        <v>0</v>
      </c>
      <c r="AX128" s="23" t="s">
        <v>710</v>
      </c>
      <c r="AY128" s="23" t="b">
        <v>0</v>
      </c>
      <c r="AZ128" s="23" t="s">
        <v>713</v>
      </c>
    </row>
    <row r="129" spans="1:52" x14ac:dyDescent="0.2">
      <c r="A129" s="23">
        <v>176</v>
      </c>
      <c r="B129" s="23" t="s">
        <v>703</v>
      </c>
      <c r="C129" s="23" t="s">
        <v>725</v>
      </c>
      <c r="D129" s="23" t="b">
        <v>1</v>
      </c>
      <c r="E129" s="23" t="s">
        <v>726</v>
      </c>
      <c r="F129" s="23" t="s">
        <v>706</v>
      </c>
      <c r="G129" s="23" t="s">
        <v>92</v>
      </c>
      <c r="H129" s="23" t="s">
        <v>707</v>
      </c>
      <c r="J129" s="23" t="s">
        <v>708</v>
      </c>
      <c r="K129" s="23" t="s">
        <v>709</v>
      </c>
      <c r="P129" s="23">
        <v>2019</v>
      </c>
      <c r="Q129" s="23">
        <v>2024</v>
      </c>
      <c r="R129" s="23" t="s">
        <v>710</v>
      </c>
      <c r="S129" s="23" t="s">
        <v>711</v>
      </c>
      <c r="T129" s="23" t="s">
        <v>198</v>
      </c>
      <c r="U129" s="23" t="s">
        <v>199</v>
      </c>
      <c r="V129" s="23" t="s">
        <v>398</v>
      </c>
      <c r="W129" s="23" t="s">
        <v>712</v>
      </c>
      <c r="X129" s="23" t="s">
        <v>104</v>
      </c>
      <c r="Y129" s="23" t="b">
        <f t="shared" si="24"/>
        <v>0</v>
      </c>
      <c r="Z129" s="23" t="b">
        <f t="shared" si="25"/>
        <v>0</v>
      </c>
      <c r="AA129" s="23" t="b">
        <f t="shared" si="26"/>
        <v>0</v>
      </c>
      <c r="AB129" s="23" t="b">
        <f t="shared" si="27"/>
        <v>0</v>
      </c>
      <c r="AC129" s="23" t="b">
        <f t="shared" si="28"/>
        <v>0</v>
      </c>
      <c r="AD129" s="23" t="b">
        <f t="shared" si="29"/>
        <v>0</v>
      </c>
      <c r="AE129" s="23" t="b">
        <f t="shared" si="30"/>
        <v>0</v>
      </c>
      <c r="AF129" s="23" t="b">
        <f t="shared" si="31"/>
        <v>0</v>
      </c>
      <c r="AG129" s="23" t="b">
        <f t="shared" si="32"/>
        <v>0</v>
      </c>
      <c r="AH129" s="23" t="b">
        <f t="shared" si="33"/>
        <v>0</v>
      </c>
      <c r="AI129" s="23" t="b">
        <f t="shared" si="34"/>
        <v>0</v>
      </c>
      <c r="AJ129" s="23" t="b">
        <v>0</v>
      </c>
      <c r="AK129" s="23" t="b">
        <f t="shared" si="35"/>
        <v>0</v>
      </c>
      <c r="AL129" s="23" t="b">
        <f t="shared" si="36"/>
        <v>0</v>
      </c>
      <c r="AM129" s="23" t="b">
        <f t="shared" si="37"/>
        <v>0</v>
      </c>
      <c r="AN129" s="23" t="b">
        <f t="shared" si="38"/>
        <v>0</v>
      </c>
      <c r="AO129" s="23" t="b">
        <f t="shared" si="39"/>
        <v>0</v>
      </c>
      <c r="AP129" s="23" t="b">
        <f t="shared" si="40"/>
        <v>0</v>
      </c>
      <c r="AQ129" s="23" t="b">
        <f t="shared" si="41"/>
        <v>0</v>
      </c>
      <c r="AR129" s="23" t="b">
        <f t="shared" si="42"/>
        <v>0</v>
      </c>
      <c r="AS129" s="23" t="b">
        <v>0</v>
      </c>
      <c r="AT129" s="23" t="b">
        <f t="shared" si="43"/>
        <v>0</v>
      </c>
      <c r="AU129" s="23" t="b">
        <f t="shared" si="44"/>
        <v>0</v>
      </c>
      <c r="AV129" s="23" t="b">
        <f t="shared" si="45"/>
        <v>0</v>
      </c>
      <c r="AW129" s="23" t="b">
        <f t="shared" si="46"/>
        <v>0</v>
      </c>
      <c r="AX129" s="23" t="s">
        <v>710</v>
      </c>
      <c r="AY129" s="23" t="b">
        <v>0</v>
      </c>
      <c r="AZ129" s="23" t="s">
        <v>713</v>
      </c>
    </row>
    <row r="130" spans="1:52" x14ac:dyDescent="0.2">
      <c r="A130" s="23">
        <v>177</v>
      </c>
      <c r="B130" s="23" t="s">
        <v>703</v>
      </c>
      <c r="C130" s="23" t="s">
        <v>727</v>
      </c>
      <c r="D130" s="23" t="b">
        <v>1</v>
      </c>
      <c r="E130" s="23" t="s">
        <v>728</v>
      </c>
      <c r="F130" s="23" t="s">
        <v>706</v>
      </c>
      <c r="G130" s="23" t="s">
        <v>92</v>
      </c>
      <c r="H130" s="23" t="s">
        <v>707</v>
      </c>
      <c r="J130" s="23" t="s">
        <v>708</v>
      </c>
      <c r="K130" s="23" t="s">
        <v>709</v>
      </c>
      <c r="P130" s="23">
        <v>2019</v>
      </c>
      <c r="Q130" s="23">
        <v>2024</v>
      </c>
      <c r="R130" s="23" t="s">
        <v>710</v>
      </c>
      <c r="S130" s="23" t="s">
        <v>711</v>
      </c>
      <c r="T130" s="23" t="s">
        <v>198</v>
      </c>
      <c r="U130" s="23" t="s">
        <v>199</v>
      </c>
      <c r="V130" s="23" t="s">
        <v>398</v>
      </c>
      <c r="W130" s="23" t="s">
        <v>712</v>
      </c>
      <c r="X130" s="23" t="s">
        <v>104</v>
      </c>
      <c r="Y130" s="23" t="b">
        <f t="shared" si="24"/>
        <v>0</v>
      </c>
      <c r="Z130" s="23" t="b">
        <f t="shared" si="25"/>
        <v>0</v>
      </c>
      <c r="AA130" s="23" t="b">
        <f t="shared" si="26"/>
        <v>0</v>
      </c>
      <c r="AB130" s="23" t="b">
        <f t="shared" si="27"/>
        <v>0</v>
      </c>
      <c r="AC130" s="23" t="b">
        <f t="shared" si="28"/>
        <v>0</v>
      </c>
      <c r="AD130" s="23" t="b">
        <f t="shared" si="29"/>
        <v>0</v>
      </c>
      <c r="AE130" s="23" t="b">
        <f t="shared" si="30"/>
        <v>0</v>
      </c>
      <c r="AF130" s="23" t="b">
        <f t="shared" si="31"/>
        <v>0</v>
      </c>
      <c r="AG130" s="23" t="b">
        <f t="shared" si="32"/>
        <v>0</v>
      </c>
      <c r="AH130" s="23" t="b">
        <f t="shared" si="33"/>
        <v>0</v>
      </c>
      <c r="AI130" s="23" t="b">
        <f t="shared" si="34"/>
        <v>0</v>
      </c>
      <c r="AJ130" s="23" t="b">
        <v>0</v>
      </c>
      <c r="AK130" s="23" t="b">
        <f t="shared" si="35"/>
        <v>0</v>
      </c>
      <c r="AL130" s="23" t="b">
        <f t="shared" si="36"/>
        <v>0</v>
      </c>
      <c r="AM130" s="23" t="b">
        <f t="shared" si="37"/>
        <v>0</v>
      </c>
      <c r="AN130" s="23" t="b">
        <f t="shared" si="38"/>
        <v>0</v>
      </c>
      <c r="AO130" s="23" t="b">
        <f t="shared" si="39"/>
        <v>0</v>
      </c>
      <c r="AP130" s="23" t="b">
        <f t="shared" si="40"/>
        <v>0</v>
      </c>
      <c r="AQ130" s="23" t="b">
        <f t="shared" si="41"/>
        <v>0</v>
      </c>
      <c r="AR130" s="23" t="b">
        <f t="shared" si="42"/>
        <v>0</v>
      </c>
      <c r="AS130" s="23" t="b">
        <v>0</v>
      </c>
      <c r="AT130" s="23" t="b">
        <f t="shared" si="43"/>
        <v>0</v>
      </c>
      <c r="AU130" s="23" t="b">
        <f t="shared" si="44"/>
        <v>0</v>
      </c>
      <c r="AV130" s="23" t="b">
        <f t="shared" si="45"/>
        <v>0</v>
      </c>
      <c r="AW130" s="23" t="b">
        <f t="shared" si="46"/>
        <v>0</v>
      </c>
      <c r="AX130" s="23" t="s">
        <v>710</v>
      </c>
      <c r="AY130" s="23" t="b">
        <v>0</v>
      </c>
      <c r="AZ130" s="23" t="s">
        <v>713</v>
      </c>
    </row>
    <row r="131" spans="1:52" x14ac:dyDescent="0.2">
      <c r="A131" s="23">
        <v>178</v>
      </c>
      <c r="B131" s="23" t="s">
        <v>703</v>
      </c>
      <c r="C131" s="23" t="s">
        <v>729</v>
      </c>
      <c r="D131" s="23" t="b">
        <v>1</v>
      </c>
      <c r="E131" s="23" t="s">
        <v>730</v>
      </c>
      <c r="F131" s="23" t="s">
        <v>706</v>
      </c>
      <c r="G131" s="23" t="s">
        <v>92</v>
      </c>
      <c r="H131" s="23" t="s">
        <v>707</v>
      </c>
      <c r="J131" s="23" t="s">
        <v>708</v>
      </c>
      <c r="K131" s="23" t="s">
        <v>709</v>
      </c>
      <c r="P131" s="23">
        <v>2012</v>
      </c>
      <c r="Q131" s="23">
        <v>2016</v>
      </c>
      <c r="R131" s="23" t="s">
        <v>710</v>
      </c>
      <c r="S131" s="23" t="s">
        <v>731</v>
      </c>
      <c r="T131" s="23" t="s">
        <v>198</v>
      </c>
      <c r="U131" s="23" t="s">
        <v>199</v>
      </c>
      <c r="V131" s="23" t="s">
        <v>398</v>
      </c>
      <c r="W131" s="23" t="s">
        <v>712</v>
      </c>
      <c r="X131" s="23" t="s">
        <v>104</v>
      </c>
      <c r="Y131" s="23" t="b">
        <f t="shared" ref="Y131:Y194" si="47">ISNUMBER(SEARCH("Public transport accessibility", $M131))</f>
        <v>0</v>
      </c>
      <c r="Z131" s="23" t="b">
        <f t="shared" ref="Z131:Z194" si="48">ISNUMBER(SEARCH("Coverage by cycling facilities", $M131))</f>
        <v>0</v>
      </c>
      <c r="AA131" s="23" t="b">
        <f t="shared" ref="AA131:AA194" si="49">ISNUMBER(SEARCH("Coverage of the drainage system", $M131))</f>
        <v>0</v>
      </c>
      <c r="AB131" s="23" t="b">
        <f t="shared" ref="AB131:AB194" si="50">ISNUMBER(SEARCH("Parking management", $M131))</f>
        <v>0</v>
      </c>
      <c r="AC131" s="23" t="b">
        <f t="shared" ref="AC131:AC194" si="51">ISNUMBER(SEARCH("Reduction of private vehicles", $M131))</f>
        <v>0</v>
      </c>
      <c r="AD131" s="23" t="b">
        <f t="shared" ref="AD131:AD194" si="52">ISNUMBER(SEARCH("Decline in accidents", $M131))</f>
        <v>0</v>
      </c>
      <c r="AE131" s="23" t="b">
        <f t="shared" ref="AE131:AE194" si="53">ISNUMBER(SEARCH("Walking and cycling", $M131))</f>
        <v>0</v>
      </c>
      <c r="AF131" s="23" t="b">
        <f t="shared" ref="AF131:AF194" si="54">ISNUMBER(SEARCH("Public transport ridershi", $M131))</f>
        <v>0</v>
      </c>
      <c r="AG131" s="23" t="b">
        <f t="shared" ref="AG131:AG194" si="55">ISNUMBER(SEARCH("Last-mile use of intermediate public transport", $M131))</f>
        <v>0</v>
      </c>
      <c r="AH131" s="23" t="b">
        <f t="shared" ref="AH131:AH194" si="56">ISNUMBER(SEARCH("Walkability", $M131))</f>
        <v>0</v>
      </c>
      <c r="AI131" s="23" t="b">
        <f t="shared" ref="AI131:AI194" si="57">ISNUMBER(SEARCH("Supply of public transport vehicles", $M131))</f>
        <v>0</v>
      </c>
      <c r="AJ131" s="23" t="b">
        <v>0</v>
      </c>
      <c r="AK131" s="23" t="b">
        <f t="shared" ref="AK131:AK194" si="58">ISNUMBER(SEARCH("Local traffic flow", $M131))</f>
        <v>0</v>
      </c>
      <c r="AL131" s="23" t="b">
        <f t="shared" ref="AL131:AL194" si="59">ISNUMBER(SEARCH("Organised road use", $M131))</f>
        <v>0</v>
      </c>
      <c r="AM131" s="23" t="b">
        <f t="shared" ref="AM131:AM194" si="60">ISNUMBER(SEARCH("Trained drivers", $M131))</f>
        <v>0</v>
      </c>
      <c r="AN131" s="23" t="b">
        <f t="shared" ref="AN131:AN194" si="61">ISNUMBER(SEARCH("Transport-related investment", $M131))</f>
        <v>0</v>
      </c>
      <c r="AO131" s="23" t="b">
        <f t="shared" ref="AO131:AO194" si="62">ISNUMBER(SEARCH("Motor vehicle traffic reduction", $M131))</f>
        <v>0</v>
      </c>
      <c r="AP131" s="23" t="b">
        <f t="shared" ref="AP131:AP194" si="63">ISNUMBER(SEARCH("public transport supply", $L131))</f>
        <v>0</v>
      </c>
      <c r="AQ131" s="23" t="b">
        <f t="shared" ref="AQ131:AQ194" si="64">ISNUMBER(SEARCH("safety and comfort", $L131))</f>
        <v>0</v>
      </c>
      <c r="AR131" s="23" t="b">
        <f t="shared" ref="AR131:AR194" si="65">ISNUMBER(SEARCH("effective enforcement", $L131))</f>
        <v>0</v>
      </c>
      <c r="AS131" s="23" t="b">
        <v>0</v>
      </c>
      <c r="AT131" s="23" t="b">
        <f t="shared" ref="AT131:AT194" si="66">ISNUMBER(SEARCH("sustainable mobility", $L131))</f>
        <v>0</v>
      </c>
      <c r="AU131" s="23" t="b">
        <f t="shared" ref="AU131:AU194" si="67">ISNUMBER(SEARCH("inclusive mobility", $L131))</f>
        <v>0</v>
      </c>
      <c r="AV131" s="23" t="b">
        <f t="shared" ref="AV131:AV194" si="68">ISNUMBER(SEARCH("health and safety", $L131))</f>
        <v>0</v>
      </c>
      <c r="AW131" s="23" t="b">
        <f t="shared" ref="AW131:AW194" si="69">ISNUMBER(SEARCH("sustainable transport funding", $L131))</f>
        <v>0</v>
      </c>
      <c r="AX131" s="23" t="s">
        <v>710</v>
      </c>
      <c r="AY131" s="23" t="b">
        <v>0</v>
      </c>
      <c r="AZ131" s="23" t="s">
        <v>732</v>
      </c>
    </row>
    <row r="132" spans="1:52" x14ac:dyDescent="0.2">
      <c r="A132" s="23">
        <v>179</v>
      </c>
      <c r="B132" s="23" t="s">
        <v>703</v>
      </c>
      <c r="C132" s="23" t="s">
        <v>733</v>
      </c>
      <c r="D132" s="23" t="b">
        <v>1</v>
      </c>
      <c r="E132" s="23" t="s">
        <v>734</v>
      </c>
      <c r="F132" s="23" t="s">
        <v>706</v>
      </c>
      <c r="G132" s="23" t="s">
        <v>92</v>
      </c>
      <c r="H132" s="23" t="s">
        <v>707</v>
      </c>
      <c r="J132" s="23" t="s">
        <v>708</v>
      </c>
      <c r="K132" s="23" t="s">
        <v>709</v>
      </c>
      <c r="P132" s="23">
        <v>2022</v>
      </c>
      <c r="Q132" s="23">
        <v>2024</v>
      </c>
      <c r="R132" s="23" t="s">
        <v>710</v>
      </c>
      <c r="S132" s="23" t="s">
        <v>731</v>
      </c>
      <c r="T132" s="23" t="s">
        <v>198</v>
      </c>
      <c r="U132" s="23" t="s">
        <v>199</v>
      </c>
      <c r="V132" s="23" t="s">
        <v>398</v>
      </c>
      <c r="W132" s="23" t="s">
        <v>712</v>
      </c>
      <c r="X132" s="23" t="s">
        <v>104</v>
      </c>
      <c r="Y132" s="23" t="b">
        <f t="shared" si="47"/>
        <v>0</v>
      </c>
      <c r="Z132" s="23" t="b">
        <f t="shared" si="48"/>
        <v>0</v>
      </c>
      <c r="AA132" s="23" t="b">
        <f t="shared" si="49"/>
        <v>0</v>
      </c>
      <c r="AB132" s="23" t="b">
        <f t="shared" si="50"/>
        <v>0</v>
      </c>
      <c r="AC132" s="23" t="b">
        <f t="shared" si="51"/>
        <v>0</v>
      </c>
      <c r="AD132" s="23" t="b">
        <f t="shared" si="52"/>
        <v>0</v>
      </c>
      <c r="AE132" s="23" t="b">
        <f t="shared" si="53"/>
        <v>0</v>
      </c>
      <c r="AF132" s="23" t="b">
        <f t="shared" si="54"/>
        <v>0</v>
      </c>
      <c r="AG132" s="23" t="b">
        <f t="shared" si="55"/>
        <v>0</v>
      </c>
      <c r="AH132" s="23" t="b">
        <f t="shared" si="56"/>
        <v>0</v>
      </c>
      <c r="AI132" s="23" t="b">
        <f t="shared" si="57"/>
        <v>0</v>
      </c>
      <c r="AJ132" s="23" t="b">
        <v>0</v>
      </c>
      <c r="AK132" s="23" t="b">
        <f t="shared" si="58"/>
        <v>0</v>
      </c>
      <c r="AL132" s="23" t="b">
        <f t="shared" si="59"/>
        <v>0</v>
      </c>
      <c r="AM132" s="23" t="b">
        <f t="shared" si="60"/>
        <v>0</v>
      </c>
      <c r="AN132" s="23" t="b">
        <f t="shared" si="61"/>
        <v>0</v>
      </c>
      <c r="AO132" s="23" t="b">
        <f t="shared" si="62"/>
        <v>0</v>
      </c>
      <c r="AP132" s="23" t="b">
        <f t="shared" si="63"/>
        <v>0</v>
      </c>
      <c r="AQ132" s="23" t="b">
        <f t="shared" si="64"/>
        <v>0</v>
      </c>
      <c r="AR132" s="23" t="b">
        <f t="shared" si="65"/>
        <v>0</v>
      </c>
      <c r="AS132" s="23" t="b">
        <v>0</v>
      </c>
      <c r="AT132" s="23" t="b">
        <f t="shared" si="66"/>
        <v>0</v>
      </c>
      <c r="AU132" s="23" t="b">
        <f t="shared" si="67"/>
        <v>0</v>
      </c>
      <c r="AV132" s="23" t="b">
        <f t="shared" si="68"/>
        <v>0</v>
      </c>
      <c r="AW132" s="23" t="b">
        <f t="shared" si="69"/>
        <v>0</v>
      </c>
      <c r="AX132" s="23" t="s">
        <v>710</v>
      </c>
      <c r="AY132" s="23" t="b">
        <v>0</v>
      </c>
      <c r="AZ132" s="23" t="s">
        <v>732</v>
      </c>
    </row>
    <row r="133" spans="1:52" x14ac:dyDescent="0.2">
      <c r="A133" s="23">
        <v>180</v>
      </c>
      <c r="B133" s="23" t="s">
        <v>703</v>
      </c>
      <c r="C133" s="23" t="s">
        <v>735</v>
      </c>
      <c r="D133" s="23" t="b">
        <v>1</v>
      </c>
      <c r="E133" s="23" t="s">
        <v>736</v>
      </c>
      <c r="F133" s="23" t="s">
        <v>706</v>
      </c>
      <c r="G133" s="23" t="s">
        <v>92</v>
      </c>
      <c r="H133" s="23" t="s">
        <v>707</v>
      </c>
      <c r="J133" s="23" t="s">
        <v>708</v>
      </c>
      <c r="K133" s="23" t="s">
        <v>709</v>
      </c>
      <c r="P133" s="23">
        <v>2018</v>
      </c>
      <c r="Q133" s="23">
        <v>2024</v>
      </c>
      <c r="R133" s="23" t="s">
        <v>710</v>
      </c>
      <c r="S133" s="23" t="s">
        <v>737</v>
      </c>
      <c r="T133" s="23" t="s">
        <v>198</v>
      </c>
      <c r="U133" s="23" t="s">
        <v>199</v>
      </c>
      <c r="V133" s="23" t="s">
        <v>398</v>
      </c>
      <c r="W133" s="23" t="s">
        <v>712</v>
      </c>
      <c r="X133" s="23" t="s">
        <v>104</v>
      </c>
      <c r="Y133" s="23" t="b">
        <f t="shared" si="47"/>
        <v>0</v>
      </c>
      <c r="Z133" s="23" t="b">
        <f t="shared" si="48"/>
        <v>0</v>
      </c>
      <c r="AA133" s="23" t="b">
        <f t="shared" si="49"/>
        <v>0</v>
      </c>
      <c r="AB133" s="23" t="b">
        <f t="shared" si="50"/>
        <v>0</v>
      </c>
      <c r="AC133" s="23" t="b">
        <f t="shared" si="51"/>
        <v>0</v>
      </c>
      <c r="AD133" s="23" t="b">
        <f t="shared" si="52"/>
        <v>0</v>
      </c>
      <c r="AE133" s="23" t="b">
        <f t="shared" si="53"/>
        <v>0</v>
      </c>
      <c r="AF133" s="23" t="b">
        <f t="shared" si="54"/>
        <v>0</v>
      </c>
      <c r="AG133" s="23" t="b">
        <f t="shared" si="55"/>
        <v>0</v>
      </c>
      <c r="AH133" s="23" t="b">
        <f t="shared" si="56"/>
        <v>0</v>
      </c>
      <c r="AI133" s="23" t="b">
        <f t="shared" si="57"/>
        <v>0</v>
      </c>
      <c r="AJ133" s="23" t="b">
        <v>0</v>
      </c>
      <c r="AK133" s="23" t="b">
        <f t="shared" si="58"/>
        <v>0</v>
      </c>
      <c r="AL133" s="23" t="b">
        <f t="shared" si="59"/>
        <v>0</v>
      </c>
      <c r="AM133" s="23" t="b">
        <f t="shared" si="60"/>
        <v>0</v>
      </c>
      <c r="AN133" s="23" t="b">
        <f t="shared" si="61"/>
        <v>0</v>
      </c>
      <c r="AO133" s="23" t="b">
        <f t="shared" si="62"/>
        <v>0</v>
      </c>
      <c r="AP133" s="23" t="b">
        <f t="shared" si="63"/>
        <v>0</v>
      </c>
      <c r="AQ133" s="23" t="b">
        <f t="shared" si="64"/>
        <v>0</v>
      </c>
      <c r="AR133" s="23" t="b">
        <f t="shared" si="65"/>
        <v>0</v>
      </c>
      <c r="AS133" s="23" t="b">
        <v>0</v>
      </c>
      <c r="AT133" s="23" t="b">
        <f t="shared" si="66"/>
        <v>0</v>
      </c>
      <c r="AU133" s="23" t="b">
        <f t="shared" si="67"/>
        <v>0</v>
      </c>
      <c r="AV133" s="23" t="b">
        <f t="shared" si="68"/>
        <v>0</v>
      </c>
      <c r="AW133" s="23" t="b">
        <f t="shared" si="69"/>
        <v>0</v>
      </c>
      <c r="AX133" s="23" t="s">
        <v>710</v>
      </c>
      <c r="AY133" s="23" t="b">
        <v>0</v>
      </c>
      <c r="AZ133" s="23" t="s">
        <v>738</v>
      </c>
    </row>
    <row r="134" spans="1:52" x14ac:dyDescent="0.2">
      <c r="A134" s="23">
        <v>181</v>
      </c>
      <c r="B134" s="23" t="s">
        <v>703</v>
      </c>
      <c r="C134" s="23" t="s">
        <v>739</v>
      </c>
      <c r="D134" s="23" t="b">
        <v>1</v>
      </c>
      <c r="E134" s="23" t="s">
        <v>740</v>
      </c>
      <c r="F134" s="23" t="s">
        <v>706</v>
      </c>
      <c r="G134" s="23" t="s">
        <v>92</v>
      </c>
      <c r="H134" s="23" t="s">
        <v>707</v>
      </c>
      <c r="J134" s="23" t="s">
        <v>708</v>
      </c>
      <c r="K134" s="23" t="s">
        <v>709</v>
      </c>
      <c r="P134" s="23">
        <v>2012</v>
      </c>
      <c r="Q134" s="23">
        <v>2024</v>
      </c>
      <c r="R134" s="23" t="s">
        <v>710</v>
      </c>
      <c r="S134" s="23" t="s">
        <v>741</v>
      </c>
      <c r="T134" s="23" t="s">
        <v>198</v>
      </c>
      <c r="U134" s="23" t="s">
        <v>199</v>
      </c>
      <c r="V134" s="23" t="s">
        <v>398</v>
      </c>
      <c r="W134" s="23" t="s">
        <v>712</v>
      </c>
      <c r="X134" s="23" t="s">
        <v>104</v>
      </c>
      <c r="Y134" s="23" t="b">
        <f t="shared" si="47"/>
        <v>0</v>
      </c>
      <c r="Z134" s="23" t="b">
        <f t="shared" si="48"/>
        <v>0</v>
      </c>
      <c r="AA134" s="23" t="b">
        <f t="shared" si="49"/>
        <v>0</v>
      </c>
      <c r="AB134" s="23" t="b">
        <f t="shared" si="50"/>
        <v>0</v>
      </c>
      <c r="AC134" s="23" t="b">
        <f t="shared" si="51"/>
        <v>0</v>
      </c>
      <c r="AD134" s="23" t="b">
        <f t="shared" si="52"/>
        <v>0</v>
      </c>
      <c r="AE134" s="23" t="b">
        <f t="shared" si="53"/>
        <v>0</v>
      </c>
      <c r="AF134" s="23" t="b">
        <f t="shared" si="54"/>
        <v>0</v>
      </c>
      <c r="AG134" s="23" t="b">
        <f t="shared" si="55"/>
        <v>0</v>
      </c>
      <c r="AH134" s="23" t="b">
        <f t="shared" si="56"/>
        <v>0</v>
      </c>
      <c r="AI134" s="23" t="b">
        <f t="shared" si="57"/>
        <v>0</v>
      </c>
      <c r="AJ134" s="23" t="b">
        <v>0</v>
      </c>
      <c r="AK134" s="23" t="b">
        <f t="shared" si="58"/>
        <v>0</v>
      </c>
      <c r="AL134" s="23" t="b">
        <f t="shared" si="59"/>
        <v>0</v>
      </c>
      <c r="AM134" s="23" t="b">
        <f t="shared" si="60"/>
        <v>0</v>
      </c>
      <c r="AN134" s="23" t="b">
        <f t="shared" si="61"/>
        <v>0</v>
      </c>
      <c r="AO134" s="23" t="b">
        <f t="shared" si="62"/>
        <v>0</v>
      </c>
      <c r="AP134" s="23" t="b">
        <f t="shared" si="63"/>
        <v>0</v>
      </c>
      <c r="AQ134" s="23" t="b">
        <f t="shared" si="64"/>
        <v>0</v>
      </c>
      <c r="AR134" s="23" t="b">
        <f t="shared" si="65"/>
        <v>0</v>
      </c>
      <c r="AS134" s="23" t="b">
        <v>0</v>
      </c>
      <c r="AT134" s="23" t="b">
        <f t="shared" si="66"/>
        <v>0</v>
      </c>
      <c r="AU134" s="23" t="b">
        <f t="shared" si="67"/>
        <v>0</v>
      </c>
      <c r="AV134" s="23" t="b">
        <f t="shared" si="68"/>
        <v>0</v>
      </c>
      <c r="AW134" s="23" t="b">
        <f t="shared" si="69"/>
        <v>0</v>
      </c>
      <c r="AX134" s="23" t="s">
        <v>710</v>
      </c>
      <c r="AY134" s="23" t="b">
        <v>0</v>
      </c>
      <c r="AZ134" s="23" t="s">
        <v>742</v>
      </c>
    </row>
    <row r="135" spans="1:52" x14ac:dyDescent="0.2">
      <c r="A135" s="23">
        <v>182</v>
      </c>
      <c r="B135" s="23" t="s">
        <v>703</v>
      </c>
      <c r="C135" s="23" t="s">
        <v>743</v>
      </c>
      <c r="D135" s="23" t="b">
        <v>1</v>
      </c>
      <c r="E135" s="23" t="s">
        <v>744</v>
      </c>
      <c r="F135" s="23" t="s">
        <v>706</v>
      </c>
      <c r="G135" s="23" t="s">
        <v>92</v>
      </c>
      <c r="H135" s="23" t="s">
        <v>707</v>
      </c>
      <c r="J135" s="23" t="s">
        <v>708</v>
      </c>
      <c r="K135" s="23" t="s">
        <v>709</v>
      </c>
      <c r="P135" s="23">
        <v>2003</v>
      </c>
      <c r="Q135" s="23">
        <v>2024</v>
      </c>
      <c r="R135" s="23" t="s">
        <v>710</v>
      </c>
      <c r="S135" s="23" t="s">
        <v>745</v>
      </c>
      <c r="T135" s="23" t="s">
        <v>198</v>
      </c>
      <c r="U135" s="23" t="s">
        <v>199</v>
      </c>
      <c r="V135" s="23" t="s">
        <v>398</v>
      </c>
      <c r="W135" s="23" t="s">
        <v>103</v>
      </c>
      <c r="X135" s="23" t="s">
        <v>104</v>
      </c>
      <c r="Y135" s="23" t="b">
        <f t="shared" si="47"/>
        <v>0</v>
      </c>
      <c r="Z135" s="23" t="b">
        <f t="shared" si="48"/>
        <v>0</v>
      </c>
      <c r="AA135" s="23" t="b">
        <f t="shared" si="49"/>
        <v>0</v>
      </c>
      <c r="AB135" s="23" t="b">
        <f t="shared" si="50"/>
        <v>0</v>
      </c>
      <c r="AC135" s="23" t="b">
        <f t="shared" si="51"/>
        <v>0</v>
      </c>
      <c r="AD135" s="23" t="b">
        <f t="shared" si="52"/>
        <v>0</v>
      </c>
      <c r="AE135" s="23" t="b">
        <f t="shared" si="53"/>
        <v>0</v>
      </c>
      <c r="AF135" s="23" t="b">
        <f t="shared" si="54"/>
        <v>0</v>
      </c>
      <c r="AG135" s="23" t="b">
        <f t="shared" si="55"/>
        <v>0</v>
      </c>
      <c r="AH135" s="23" t="b">
        <f t="shared" si="56"/>
        <v>0</v>
      </c>
      <c r="AI135" s="23" t="b">
        <f t="shared" si="57"/>
        <v>0</v>
      </c>
      <c r="AJ135" s="23" t="b">
        <v>0</v>
      </c>
      <c r="AK135" s="23" t="b">
        <f t="shared" si="58"/>
        <v>0</v>
      </c>
      <c r="AL135" s="23" t="b">
        <f t="shared" si="59"/>
        <v>0</v>
      </c>
      <c r="AM135" s="23" t="b">
        <f t="shared" si="60"/>
        <v>0</v>
      </c>
      <c r="AN135" s="23" t="b">
        <f t="shared" si="61"/>
        <v>0</v>
      </c>
      <c r="AO135" s="23" t="b">
        <f t="shared" si="62"/>
        <v>0</v>
      </c>
      <c r="AP135" s="23" t="b">
        <f t="shared" si="63"/>
        <v>0</v>
      </c>
      <c r="AQ135" s="23" t="b">
        <f t="shared" si="64"/>
        <v>0</v>
      </c>
      <c r="AR135" s="23" t="b">
        <f t="shared" si="65"/>
        <v>0</v>
      </c>
      <c r="AS135" s="23" t="b">
        <v>0</v>
      </c>
      <c r="AT135" s="23" t="b">
        <f t="shared" si="66"/>
        <v>0</v>
      </c>
      <c r="AU135" s="23" t="b">
        <f t="shared" si="67"/>
        <v>0</v>
      </c>
      <c r="AV135" s="23" t="b">
        <f t="shared" si="68"/>
        <v>0</v>
      </c>
      <c r="AW135" s="23" t="b">
        <f t="shared" si="69"/>
        <v>0</v>
      </c>
      <c r="AX135" s="23" t="s">
        <v>710</v>
      </c>
      <c r="AY135" s="23" t="b">
        <v>0</v>
      </c>
      <c r="AZ135" s="23" t="s">
        <v>746</v>
      </c>
    </row>
    <row r="136" spans="1:52" x14ac:dyDescent="0.2">
      <c r="A136" s="23">
        <v>183</v>
      </c>
      <c r="B136" s="23" t="s">
        <v>703</v>
      </c>
      <c r="C136" s="23" t="s">
        <v>747</v>
      </c>
      <c r="D136" s="23" t="b">
        <v>1</v>
      </c>
      <c r="E136" s="23" t="s">
        <v>744</v>
      </c>
      <c r="F136" s="23" t="s">
        <v>706</v>
      </c>
      <c r="G136" s="23" t="s">
        <v>92</v>
      </c>
      <c r="H136" s="23" t="s">
        <v>707</v>
      </c>
      <c r="J136" s="23" t="s">
        <v>708</v>
      </c>
      <c r="K136" s="23" t="s">
        <v>709</v>
      </c>
      <c r="P136" s="23">
        <v>2011</v>
      </c>
      <c r="Q136" s="23">
        <v>2024</v>
      </c>
      <c r="R136" s="23" t="s">
        <v>710</v>
      </c>
      <c r="S136" s="23" t="s">
        <v>745</v>
      </c>
      <c r="T136" s="23" t="s">
        <v>198</v>
      </c>
      <c r="U136" s="23" t="s">
        <v>199</v>
      </c>
      <c r="V136" s="23" t="s">
        <v>398</v>
      </c>
      <c r="W136" s="23" t="s">
        <v>103</v>
      </c>
      <c r="X136" s="23" t="s">
        <v>104</v>
      </c>
      <c r="Y136" s="23" t="b">
        <f t="shared" si="47"/>
        <v>0</v>
      </c>
      <c r="Z136" s="23" t="b">
        <f t="shared" si="48"/>
        <v>0</v>
      </c>
      <c r="AA136" s="23" t="b">
        <f t="shared" si="49"/>
        <v>0</v>
      </c>
      <c r="AB136" s="23" t="b">
        <f t="shared" si="50"/>
        <v>0</v>
      </c>
      <c r="AC136" s="23" t="b">
        <f t="shared" si="51"/>
        <v>0</v>
      </c>
      <c r="AD136" s="23" t="b">
        <f t="shared" si="52"/>
        <v>0</v>
      </c>
      <c r="AE136" s="23" t="b">
        <f t="shared" si="53"/>
        <v>0</v>
      </c>
      <c r="AF136" s="23" t="b">
        <f t="shared" si="54"/>
        <v>0</v>
      </c>
      <c r="AG136" s="23" t="b">
        <f t="shared" si="55"/>
        <v>0</v>
      </c>
      <c r="AH136" s="23" t="b">
        <f t="shared" si="56"/>
        <v>0</v>
      </c>
      <c r="AI136" s="23" t="b">
        <f t="shared" si="57"/>
        <v>0</v>
      </c>
      <c r="AJ136" s="23" t="b">
        <v>0</v>
      </c>
      <c r="AK136" s="23" t="b">
        <f t="shared" si="58"/>
        <v>0</v>
      </c>
      <c r="AL136" s="23" t="b">
        <f t="shared" si="59"/>
        <v>0</v>
      </c>
      <c r="AM136" s="23" t="b">
        <f t="shared" si="60"/>
        <v>0</v>
      </c>
      <c r="AN136" s="23" t="b">
        <f t="shared" si="61"/>
        <v>0</v>
      </c>
      <c r="AO136" s="23" t="b">
        <f t="shared" si="62"/>
        <v>0</v>
      </c>
      <c r="AP136" s="23" t="b">
        <f t="shared" si="63"/>
        <v>0</v>
      </c>
      <c r="AQ136" s="23" t="b">
        <f t="shared" si="64"/>
        <v>0</v>
      </c>
      <c r="AR136" s="23" t="b">
        <f t="shared" si="65"/>
        <v>0</v>
      </c>
      <c r="AS136" s="23" t="b">
        <v>0</v>
      </c>
      <c r="AT136" s="23" t="b">
        <f t="shared" si="66"/>
        <v>0</v>
      </c>
      <c r="AU136" s="23" t="b">
        <f t="shared" si="67"/>
        <v>0</v>
      </c>
      <c r="AV136" s="23" t="b">
        <f t="shared" si="68"/>
        <v>0</v>
      </c>
      <c r="AW136" s="23" t="b">
        <f t="shared" si="69"/>
        <v>0</v>
      </c>
      <c r="AX136" s="23" t="s">
        <v>710</v>
      </c>
      <c r="AY136" s="23" t="b">
        <v>0</v>
      </c>
      <c r="AZ136" s="23" t="s">
        <v>746</v>
      </c>
    </row>
    <row r="137" spans="1:52" x14ac:dyDescent="0.2">
      <c r="A137" s="23">
        <v>184</v>
      </c>
      <c r="B137" s="23" t="s">
        <v>703</v>
      </c>
      <c r="C137" s="23" t="s">
        <v>748</v>
      </c>
      <c r="D137" s="23" t="b">
        <v>1</v>
      </c>
      <c r="E137" s="23" t="s">
        <v>744</v>
      </c>
      <c r="F137" s="23" t="s">
        <v>706</v>
      </c>
      <c r="G137" s="23" t="s">
        <v>92</v>
      </c>
      <c r="H137" s="23" t="s">
        <v>707</v>
      </c>
      <c r="J137" s="23" t="s">
        <v>708</v>
      </c>
      <c r="K137" s="23" t="s">
        <v>709</v>
      </c>
      <c r="P137" s="23">
        <v>2016</v>
      </c>
      <c r="Q137" s="23">
        <v>2024</v>
      </c>
      <c r="R137" s="23" t="s">
        <v>710</v>
      </c>
      <c r="S137" s="23" t="s">
        <v>745</v>
      </c>
      <c r="T137" s="23" t="s">
        <v>198</v>
      </c>
      <c r="U137" s="23" t="s">
        <v>199</v>
      </c>
      <c r="V137" s="23" t="s">
        <v>398</v>
      </c>
      <c r="W137" s="23" t="s">
        <v>103</v>
      </c>
      <c r="X137" s="23" t="s">
        <v>104</v>
      </c>
      <c r="Y137" s="23" t="b">
        <f t="shared" si="47"/>
        <v>0</v>
      </c>
      <c r="Z137" s="23" t="b">
        <f t="shared" si="48"/>
        <v>0</v>
      </c>
      <c r="AA137" s="23" t="b">
        <f t="shared" si="49"/>
        <v>0</v>
      </c>
      <c r="AB137" s="23" t="b">
        <f t="shared" si="50"/>
        <v>0</v>
      </c>
      <c r="AC137" s="23" t="b">
        <f t="shared" si="51"/>
        <v>0</v>
      </c>
      <c r="AD137" s="23" t="b">
        <f t="shared" si="52"/>
        <v>0</v>
      </c>
      <c r="AE137" s="23" t="b">
        <f t="shared" si="53"/>
        <v>0</v>
      </c>
      <c r="AF137" s="23" t="b">
        <f t="shared" si="54"/>
        <v>0</v>
      </c>
      <c r="AG137" s="23" t="b">
        <f t="shared" si="55"/>
        <v>0</v>
      </c>
      <c r="AH137" s="23" t="b">
        <f t="shared" si="56"/>
        <v>0</v>
      </c>
      <c r="AI137" s="23" t="b">
        <f t="shared" si="57"/>
        <v>0</v>
      </c>
      <c r="AJ137" s="23" t="b">
        <v>0</v>
      </c>
      <c r="AK137" s="23" t="b">
        <f t="shared" si="58"/>
        <v>0</v>
      </c>
      <c r="AL137" s="23" t="b">
        <f t="shared" si="59"/>
        <v>0</v>
      </c>
      <c r="AM137" s="23" t="b">
        <f t="shared" si="60"/>
        <v>0</v>
      </c>
      <c r="AN137" s="23" t="b">
        <f t="shared" si="61"/>
        <v>0</v>
      </c>
      <c r="AO137" s="23" t="b">
        <f t="shared" si="62"/>
        <v>0</v>
      </c>
      <c r="AP137" s="23" t="b">
        <f t="shared" si="63"/>
        <v>0</v>
      </c>
      <c r="AQ137" s="23" t="b">
        <f t="shared" si="64"/>
        <v>0</v>
      </c>
      <c r="AR137" s="23" t="b">
        <f t="shared" si="65"/>
        <v>0</v>
      </c>
      <c r="AS137" s="23" t="b">
        <v>0</v>
      </c>
      <c r="AT137" s="23" t="b">
        <f t="shared" si="66"/>
        <v>0</v>
      </c>
      <c r="AU137" s="23" t="b">
        <f t="shared" si="67"/>
        <v>0</v>
      </c>
      <c r="AV137" s="23" t="b">
        <f t="shared" si="68"/>
        <v>0</v>
      </c>
      <c r="AW137" s="23" t="b">
        <f t="shared" si="69"/>
        <v>0</v>
      </c>
      <c r="AX137" s="23" t="s">
        <v>710</v>
      </c>
      <c r="AY137" s="23" t="b">
        <v>0</v>
      </c>
      <c r="AZ137" s="23" t="s">
        <v>746</v>
      </c>
    </row>
    <row r="138" spans="1:52" x14ac:dyDescent="0.2">
      <c r="A138" s="23">
        <v>185</v>
      </c>
      <c r="B138" s="23" t="s">
        <v>703</v>
      </c>
      <c r="C138" s="23" t="s">
        <v>749</v>
      </c>
      <c r="D138" s="23" t="b">
        <v>1</v>
      </c>
      <c r="E138" s="23" t="s">
        <v>750</v>
      </c>
      <c r="F138" s="23" t="s">
        <v>706</v>
      </c>
      <c r="G138" s="23" t="s">
        <v>92</v>
      </c>
      <c r="H138" s="23" t="s">
        <v>751</v>
      </c>
      <c r="J138" s="23" t="s">
        <v>752</v>
      </c>
      <c r="K138" s="23" t="s">
        <v>753</v>
      </c>
      <c r="P138" s="23">
        <v>2015</v>
      </c>
      <c r="Q138" s="23">
        <v>2024</v>
      </c>
      <c r="R138" s="23" t="s">
        <v>710</v>
      </c>
      <c r="S138" s="23" t="s">
        <v>754</v>
      </c>
      <c r="T138" s="23" t="s">
        <v>198</v>
      </c>
      <c r="U138" s="23" t="s">
        <v>199</v>
      </c>
      <c r="V138" s="23" t="s">
        <v>398</v>
      </c>
      <c r="W138" s="23" t="s">
        <v>103</v>
      </c>
      <c r="X138" s="23" t="s">
        <v>104</v>
      </c>
      <c r="Y138" s="23" t="b">
        <f t="shared" si="47"/>
        <v>0</v>
      </c>
      <c r="Z138" s="23" t="b">
        <f t="shared" si="48"/>
        <v>0</v>
      </c>
      <c r="AA138" s="23" t="b">
        <f t="shared" si="49"/>
        <v>0</v>
      </c>
      <c r="AB138" s="23" t="b">
        <f t="shared" si="50"/>
        <v>0</v>
      </c>
      <c r="AC138" s="23" t="b">
        <f t="shared" si="51"/>
        <v>0</v>
      </c>
      <c r="AD138" s="23" t="b">
        <f t="shared" si="52"/>
        <v>0</v>
      </c>
      <c r="AE138" s="23" t="b">
        <f t="shared" si="53"/>
        <v>0</v>
      </c>
      <c r="AF138" s="23" t="b">
        <f t="shared" si="54"/>
        <v>0</v>
      </c>
      <c r="AG138" s="23" t="b">
        <f t="shared" si="55"/>
        <v>0</v>
      </c>
      <c r="AH138" s="23" t="b">
        <f t="shared" si="56"/>
        <v>0</v>
      </c>
      <c r="AI138" s="23" t="b">
        <f t="shared" si="57"/>
        <v>0</v>
      </c>
      <c r="AJ138" s="23" t="b">
        <v>0</v>
      </c>
      <c r="AK138" s="23" t="b">
        <f t="shared" si="58"/>
        <v>0</v>
      </c>
      <c r="AL138" s="23" t="b">
        <f t="shared" si="59"/>
        <v>0</v>
      </c>
      <c r="AM138" s="23" t="b">
        <f t="shared" si="60"/>
        <v>0</v>
      </c>
      <c r="AN138" s="23" t="b">
        <f t="shared" si="61"/>
        <v>0</v>
      </c>
      <c r="AO138" s="23" t="b">
        <f t="shared" si="62"/>
        <v>0</v>
      </c>
      <c r="AP138" s="23" t="b">
        <f t="shared" si="63"/>
        <v>0</v>
      </c>
      <c r="AQ138" s="23" t="b">
        <f t="shared" si="64"/>
        <v>0</v>
      </c>
      <c r="AR138" s="23" t="b">
        <f t="shared" si="65"/>
        <v>0</v>
      </c>
      <c r="AS138" s="23" t="b">
        <v>0</v>
      </c>
      <c r="AT138" s="23" t="b">
        <f t="shared" si="66"/>
        <v>0</v>
      </c>
      <c r="AU138" s="23" t="b">
        <f t="shared" si="67"/>
        <v>0</v>
      </c>
      <c r="AV138" s="23" t="b">
        <f t="shared" si="68"/>
        <v>0</v>
      </c>
      <c r="AW138" s="23" t="b">
        <f t="shared" si="69"/>
        <v>0</v>
      </c>
      <c r="AX138" s="23" t="s">
        <v>710</v>
      </c>
      <c r="AY138" s="23" t="b">
        <v>0</v>
      </c>
      <c r="AZ138" s="23" t="s">
        <v>755</v>
      </c>
    </row>
    <row r="139" spans="1:52" x14ac:dyDescent="0.2">
      <c r="A139" s="23">
        <v>186</v>
      </c>
      <c r="B139" s="23" t="s">
        <v>703</v>
      </c>
      <c r="C139" s="23" t="s">
        <v>756</v>
      </c>
      <c r="D139" s="23" t="b">
        <v>1</v>
      </c>
      <c r="E139" s="23" t="s">
        <v>757</v>
      </c>
      <c r="F139" s="23" t="s">
        <v>706</v>
      </c>
      <c r="G139" s="23" t="s">
        <v>92</v>
      </c>
      <c r="H139" s="23" t="s">
        <v>758</v>
      </c>
      <c r="J139" s="23" t="s">
        <v>759</v>
      </c>
      <c r="K139" s="23" t="s">
        <v>760</v>
      </c>
      <c r="P139" s="23">
        <v>1972</v>
      </c>
      <c r="Q139" s="23">
        <v>1978</v>
      </c>
      <c r="R139" s="23" t="s">
        <v>710</v>
      </c>
      <c r="S139" s="23" t="s">
        <v>761</v>
      </c>
      <c r="T139" s="23" t="s">
        <v>198</v>
      </c>
      <c r="U139" s="23" t="s">
        <v>199</v>
      </c>
      <c r="V139" s="23" t="s">
        <v>398</v>
      </c>
      <c r="W139" s="23" t="s">
        <v>103</v>
      </c>
      <c r="X139" s="23" t="s">
        <v>104</v>
      </c>
      <c r="Y139" s="23" t="b">
        <f t="shared" si="47"/>
        <v>0</v>
      </c>
      <c r="Z139" s="23" t="b">
        <f t="shared" si="48"/>
        <v>0</v>
      </c>
      <c r="AA139" s="23" t="b">
        <f t="shared" si="49"/>
        <v>0</v>
      </c>
      <c r="AB139" s="23" t="b">
        <f t="shared" si="50"/>
        <v>0</v>
      </c>
      <c r="AC139" s="23" t="b">
        <f t="shared" si="51"/>
        <v>0</v>
      </c>
      <c r="AD139" s="23" t="b">
        <f t="shared" si="52"/>
        <v>0</v>
      </c>
      <c r="AE139" s="23" t="b">
        <f t="shared" si="53"/>
        <v>0</v>
      </c>
      <c r="AF139" s="23" t="b">
        <f t="shared" si="54"/>
        <v>0</v>
      </c>
      <c r="AG139" s="23" t="b">
        <f t="shared" si="55"/>
        <v>0</v>
      </c>
      <c r="AH139" s="23" t="b">
        <f t="shared" si="56"/>
        <v>0</v>
      </c>
      <c r="AI139" s="23" t="b">
        <f t="shared" si="57"/>
        <v>0</v>
      </c>
      <c r="AJ139" s="23" t="b">
        <v>0</v>
      </c>
      <c r="AK139" s="23" t="b">
        <f t="shared" si="58"/>
        <v>0</v>
      </c>
      <c r="AL139" s="23" t="b">
        <f t="shared" si="59"/>
        <v>0</v>
      </c>
      <c r="AM139" s="23" t="b">
        <f t="shared" si="60"/>
        <v>0</v>
      </c>
      <c r="AN139" s="23" t="b">
        <f t="shared" si="61"/>
        <v>0</v>
      </c>
      <c r="AO139" s="23" t="b">
        <f t="shared" si="62"/>
        <v>0</v>
      </c>
      <c r="AP139" s="23" t="b">
        <f t="shared" si="63"/>
        <v>0</v>
      </c>
      <c r="AQ139" s="23" t="b">
        <f t="shared" si="64"/>
        <v>0</v>
      </c>
      <c r="AR139" s="23" t="b">
        <f t="shared" si="65"/>
        <v>0</v>
      </c>
      <c r="AS139" s="23" t="b">
        <v>0</v>
      </c>
      <c r="AT139" s="23" t="b">
        <f t="shared" si="66"/>
        <v>0</v>
      </c>
      <c r="AU139" s="23" t="b">
        <f t="shared" si="67"/>
        <v>0</v>
      </c>
      <c r="AV139" s="23" t="b">
        <f t="shared" si="68"/>
        <v>0</v>
      </c>
      <c r="AW139" s="23" t="b">
        <f t="shared" si="69"/>
        <v>0</v>
      </c>
      <c r="AX139" s="23" t="s">
        <v>710</v>
      </c>
      <c r="AY139" s="23" t="b">
        <v>0</v>
      </c>
      <c r="AZ139" s="23" t="s">
        <v>762</v>
      </c>
    </row>
    <row r="140" spans="1:52" x14ac:dyDescent="0.2">
      <c r="A140" s="23">
        <v>187</v>
      </c>
      <c r="B140" s="23" t="s">
        <v>703</v>
      </c>
      <c r="C140" s="23" t="s">
        <v>763</v>
      </c>
      <c r="D140" s="23" t="b">
        <v>1</v>
      </c>
      <c r="E140" s="23" t="s">
        <v>764</v>
      </c>
      <c r="F140" s="23" t="s">
        <v>706</v>
      </c>
      <c r="G140" s="23" t="s">
        <v>92</v>
      </c>
      <c r="H140" s="23" t="s">
        <v>758</v>
      </c>
      <c r="J140" s="23" t="s">
        <v>759</v>
      </c>
      <c r="K140" s="23" t="s">
        <v>760</v>
      </c>
      <c r="P140" s="23">
        <v>1975</v>
      </c>
      <c r="Q140" s="23">
        <v>1982</v>
      </c>
      <c r="R140" s="23" t="s">
        <v>710</v>
      </c>
      <c r="S140" s="23" t="s">
        <v>761</v>
      </c>
      <c r="T140" s="23" t="s">
        <v>198</v>
      </c>
      <c r="U140" s="23" t="s">
        <v>199</v>
      </c>
      <c r="V140" s="23" t="s">
        <v>398</v>
      </c>
      <c r="W140" s="23" t="s">
        <v>103</v>
      </c>
      <c r="X140" s="23" t="s">
        <v>104</v>
      </c>
      <c r="Y140" s="23" t="b">
        <f t="shared" si="47"/>
        <v>0</v>
      </c>
      <c r="Z140" s="23" t="b">
        <f t="shared" si="48"/>
        <v>0</v>
      </c>
      <c r="AA140" s="23" t="b">
        <f t="shared" si="49"/>
        <v>0</v>
      </c>
      <c r="AB140" s="23" t="b">
        <f t="shared" si="50"/>
        <v>0</v>
      </c>
      <c r="AC140" s="23" t="b">
        <f t="shared" si="51"/>
        <v>0</v>
      </c>
      <c r="AD140" s="23" t="b">
        <f t="shared" si="52"/>
        <v>0</v>
      </c>
      <c r="AE140" s="23" t="b">
        <f t="shared" si="53"/>
        <v>0</v>
      </c>
      <c r="AF140" s="23" t="b">
        <f t="shared" si="54"/>
        <v>0</v>
      </c>
      <c r="AG140" s="23" t="b">
        <f t="shared" si="55"/>
        <v>0</v>
      </c>
      <c r="AH140" s="23" t="b">
        <f t="shared" si="56"/>
        <v>0</v>
      </c>
      <c r="AI140" s="23" t="b">
        <f t="shared" si="57"/>
        <v>0</v>
      </c>
      <c r="AJ140" s="23" t="b">
        <v>0</v>
      </c>
      <c r="AK140" s="23" t="b">
        <f t="shared" si="58"/>
        <v>0</v>
      </c>
      <c r="AL140" s="23" t="b">
        <f t="shared" si="59"/>
        <v>0</v>
      </c>
      <c r="AM140" s="23" t="b">
        <f t="shared" si="60"/>
        <v>0</v>
      </c>
      <c r="AN140" s="23" t="b">
        <f t="shared" si="61"/>
        <v>0</v>
      </c>
      <c r="AO140" s="23" t="b">
        <f t="shared" si="62"/>
        <v>0</v>
      </c>
      <c r="AP140" s="23" t="b">
        <f t="shared" si="63"/>
        <v>0</v>
      </c>
      <c r="AQ140" s="23" t="b">
        <f t="shared" si="64"/>
        <v>0</v>
      </c>
      <c r="AR140" s="23" t="b">
        <f t="shared" si="65"/>
        <v>0</v>
      </c>
      <c r="AS140" s="23" t="b">
        <v>0</v>
      </c>
      <c r="AT140" s="23" t="b">
        <f t="shared" si="66"/>
        <v>0</v>
      </c>
      <c r="AU140" s="23" t="b">
        <f t="shared" si="67"/>
        <v>0</v>
      </c>
      <c r="AV140" s="23" t="b">
        <f t="shared" si="68"/>
        <v>0</v>
      </c>
      <c r="AW140" s="23" t="b">
        <f t="shared" si="69"/>
        <v>0</v>
      </c>
      <c r="AX140" s="23" t="s">
        <v>710</v>
      </c>
      <c r="AY140" s="23" t="b">
        <v>0</v>
      </c>
      <c r="AZ140" s="23" t="s">
        <v>762</v>
      </c>
    </row>
    <row r="141" spans="1:52" x14ac:dyDescent="0.2">
      <c r="A141" s="23">
        <v>188</v>
      </c>
      <c r="B141" s="23" t="s">
        <v>703</v>
      </c>
      <c r="C141" s="23" t="s">
        <v>765</v>
      </c>
      <c r="D141" s="23" t="b">
        <v>1</v>
      </c>
      <c r="E141" s="23" t="s">
        <v>757</v>
      </c>
      <c r="F141" s="23" t="s">
        <v>706</v>
      </c>
      <c r="G141" s="23" t="s">
        <v>92</v>
      </c>
      <c r="H141" s="23" t="s">
        <v>758</v>
      </c>
      <c r="J141" s="23" t="s">
        <v>759</v>
      </c>
      <c r="K141" s="23" t="s">
        <v>760</v>
      </c>
      <c r="P141" s="23">
        <v>1978</v>
      </c>
      <c r="Q141" s="23">
        <v>1983</v>
      </c>
      <c r="R141" s="23" t="s">
        <v>710</v>
      </c>
      <c r="S141" s="23" t="s">
        <v>761</v>
      </c>
      <c r="T141" s="23" t="s">
        <v>198</v>
      </c>
      <c r="U141" s="23" t="s">
        <v>199</v>
      </c>
      <c r="V141" s="23" t="s">
        <v>398</v>
      </c>
      <c r="W141" s="23" t="s">
        <v>103</v>
      </c>
      <c r="X141" s="23" t="s">
        <v>104</v>
      </c>
      <c r="Y141" s="23" t="b">
        <f t="shared" si="47"/>
        <v>0</v>
      </c>
      <c r="Z141" s="23" t="b">
        <f t="shared" si="48"/>
        <v>0</v>
      </c>
      <c r="AA141" s="23" t="b">
        <f t="shared" si="49"/>
        <v>0</v>
      </c>
      <c r="AB141" s="23" t="b">
        <f t="shared" si="50"/>
        <v>0</v>
      </c>
      <c r="AC141" s="23" t="b">
        <f t="shared" si="51"/>
        <v>0</v>
      </c>
      <c r="AD141" s="23" t="b">
        <f t="shared" si="52"/>
        <v>0</v>
      </c>
      <c r="AE141" s="23" t="b">
        <f t="shared" si="53"/>
        <v>0</v>
      </c>
      <c r="AF141" s="23" t="b">
        <f t="shared" si="54"/>
        <v>0</v>
      </c>
      <c r="AG141" s="23" t="b">
        <f t="shared" si="55"/>
        <v>0</v>
      </c>
      <c r="AH141" s="23" t="b">
        <f t="shared" si="56"/>
        <v>0</v>
      </c>
      <c r="AI141" s="23" t="b">
        <f t="shared" si="57"/>
        <v>0</v>
      </c>
      <c r="AJ141" s="23" t="b">
        <v>0</v>
      </c>
      <c r="AK141" s="23" t="b">
        <f t="shared" si="58"/>
        <v>0</v>
      </c>
      <c r="AL141" s="23" t="b">
        <f t="shared" si="59"/>
        <v>0</v>
      </c>
      <c r="AM141" s="23" t="b">
        <f t="shared" si="60"/>
        <v>0</v>
      </c>
      <c r="AN141" s="23" t="b">
        <f t="shared" si="61"/>
        <v>0</v>
      </c>
      <c r="AO141" s="23" t="b">
        <f t="shared" si="62"/>
        <v>0</v>
      </c>
      <c r="AP141" s="23" t="b">
        <f t="shared" si="63"/>
        <v>0</v>
      </c>
      <c r="AQ141" s="23" t="b">
        <f t="shared" si="64"/>
        <v>0</v>
      </c>
      <c r="AR141" s="23" t="b">
        <f t="shared" si="65"/>
        <v>0</v>
      </c>
      <c r="AS141" s="23" t="b">
        <v>0</v>
      </c>
      <c r="AT141" s="23" t="b">
        <f t="shared" si="66"/>
        <v>0</v>
      </c>
      <c r="AU141" s="23" t="b">
        <f t="shared" si="67"/>
        <v>0</v>
      </c>
      <c r="AV141" s="23" t="b">
        <f t="shared" si="68"/>
        <v>0</v>
      </c>
      <c r="AW141" s="23" t="b">
        <f t="shared" si="69"/>
        <v>0</v>
      </c>
      <c r="AX141" s="23" t="s">
        <v>710</v>
      </c>
      <c r="AY141" s="23" t="b">
        <v>0</v>
      </c>
      <c r="AZ141" s="23" t="s">
        <v>762</v>
      </c>
    </row>
    <row r="142" spans="1:52" x14ac:dyDescent="0.2">
      <c r="A142" s="23">
        <v>189</v>
      </c>
      <c r="B142" s="23" t="s">
        <v>703</v>
      </c>
      <c r="C142" s="23" t="s">
        <v>766</v>
      </c>
      <c r="D142" s="23" t="b">
        <v>1</v>
      </c>
      <c r="E142" s="23" t="s">
        <v>767</v>
      </c>
      <c r="F142" s="23" t="s">
        <v>706</v>
      </c>
      <c r="G142" s="23" t="s">
        <v>92</v>
      </c>
      <c r="H142" s="23" t="s">
        <v>758</v>
      </c>
      <c r="J142" s="23" t="s">
        <v>759</v>
      </c>
      <c r="K142" s="23" t="s">
        <v>760</v>
      </c>
      <c r="P142" s="23">
        <v>1982</v>
      </c>
      <c r="Q142" s="23">
        <v>1993</v>
      </c>
      <c r="R142" s="23" t="s">
        <v>710</v>
      </c>
      <c r="S142" s="23" t="s">
        <v>737</v>
      </c>
      <c r="T142" s="23" t="s">
        <v>198</v>
      </c>
      <c r="U142" s="23" t="s">
        <v>199</v>
      </c>
      <c r="V142" s="23" t="s">
        <v>398</v>
      </c>
      <c r="W142" s="23" t="s">
        <v>103</v>
      </c>
      <c r="X142" s="23" t="s">
        <v>104</v>
      </c>
      <c r="Y142" s="23" t="b">
        <f t="shared" si="47"/>
        <v>0</v>
      </c>
      <c r="Z142" s="23" t="b">
        <f t="shared" si="48"/>
        <v>0</v>
      </c>
      <c r="AA142" s="23" t="b">
        <f t="shared" si="49"/>
        <v>0</v>
      </c>
      <c r="AB142" s="23" t="b">
        <f t="shared" si="50"/>
        <v>0</v>
      </c>
      <c r="AC142" s="23" t="b">
        <f t="shared" si="51"/>
        <v>0</v>
      </c>
      <c r="AD142" s="23" t="b">
        <f t="shared" si="52"/>
        <v>0</v>
      </c>
      <c r="AE142" s="23" t="b">
        <f t="shared" si="53"/>
        <v>0</v>
      </c>
      <c r="AF142" s="23" t="b">
        <f t="shared" si="54"/>
        <v>0</v>
      </c>
      <c r="AG142" s="23" t="b">
        <f t="shared" si="55"/>
        <v>0</v>
      </c>
      <c r="AH142" s="23" t="b">
        <f t="shared" si="56"/>
        <v>0</v>
      </c>
      <c r="AI142" s="23" t="b">
        <f t="shared" si="57"/>
        <v>0</v>
      </c>
      <c r="AJ142" s="23" t="b">
        <v>0</v>
      </c>
      <c r="AK142" s="23" t="b">
        <f t="shared" si="58"/>
        <v>0</v>
      </c>
      <c r="AL142" s="23" t="b">
        <f t="shared" si="59"/>
        <v>0</v>
      </c>
      <c r="AM142" s="23" t="b">
        <f t="shared" si="60"/>
        <v>0</v>
      </c>
      <c r="AN142" s="23" t="b">
        <f t="shared" si="61"/>
        <v>0</v>
      </c>
      <c r="AO142" s="23" t="b">
        <f t="shared" si="62"/>
        <v>0</v>
      </c>
      <c r="AP142" s="23" t="b">
        <f t="shared" si="63"/>
        <v>0</v>
      </c>
      <c r="AQ142" s="23" t="b">
        <f t="shared" si="64"/>
        <v>0</v>
      </c>
      <c r="AR142" s="23" t="b">
        <f t="shared" si="65"/>
        <v>0</v>
      </c>
      <c r="AS142" s="23" t="b">
        <v>0</v>
      </c>
      <c r="AT142" s="23" t="b">
        <f t="shared" si="66"/>
        <v>0</v>
      </c>
      <c r="AU142" s="23" t="b">
        <f t="shared" si="67"/>
        <v>0</v>
      </c>
      <c r="AV142" s="23" t="b">
        <f t="shared" si="68"/>
        <v>0</v>
      </c>
      <c r="AW142" s="23" t="b">
        <f t="shared" si="69"/>
        <v>0</v>
      </c>
      <c r="AX142" s="23" t="s">
        <v>710</v>
      </c>
      <c r="AY142" s="23" t="b">
        <v>0</v>
      </c>
      <c r="AZ142" s="23" t="s">
        <v>738</v>
      </c>
    </row>
    <row r="143" spans="1:52" x14ac:dyDescent="0.2">
      <c r="A143" s="23">
        <v>190</v>
      </c>
      <c r="B143" s="23" t="s">
        <v>703</v>
      </c>
      <c r="C143" s="23" t="s">
        <v>768</v>
      </c>
      <c r="D143" s="23" t="b">
        <v>1</v>
      </c>
      <c r="E143" s="23" t="s">
        <v>767</v>
      </c>
      <c r="F143" s="23" t="s">
        <v>706</v>
      </c>
      <c r="G143" s="23" t="s">
        <v>92</v>
      </c>
      <c r="H143" s="23" t="s">
        <v>758</v>
      </c>
      <c r="J143" s="23" t="s">
        <v>759</v>
      </c>
      <c r="K143" s="23" t="s">
        <v>760</v>
      </c>
      <c r="P143" s="23">
        <v>1984</v>
      </c>
      <c r="Q143" s="23">
        <v>2013</v>
      </c>
      <c r="R143" s="23" t="s">
        <v>710</v>
      </c>
      <c r="S143" s="23" t="s">
        <v>737</v>
      </c>
      <c r="T143" s="23" t="s">
        <v>198</v>
      </c>
      <c r="U143" s="23" t="s">
        <v>199</v>
      </c>
      <c r="V143" s="23" t="s">
        <v>398</v>
      </c>
      <c r="W143" s="23" t="s">
        <v>103</v>
      </c>
      <c r="X143" s="23" t="s">
        <v>104</v>
      </c>
      <c r="Y143" s="23" t="b">
        <f t="shared" si="47"/>
        <v>0</v>
      </c>
      <c r="Z143" s="23" t="b">
        <f t="shared" si="48"/>
        <v>0</v>
      </c>
      <c r="AA143" s="23" t="b">
        <f t="shared" si="49"/>
        <v>0</v>
      </c>
      <c r="AB143" s="23" t="b">
        <f t="shared" si="50"/>
        <v>0</v>
      </c>
      <c r="AC143" s="23" t="b">
        <f t="shared" si="51"/>
        <v>0</v>
      </c>
      <c r="AD143" s="23" t="b">
        <f t="shared" si="52"/>
        <v>0</v>
      </c>
      <c r="AE143" s="23" t="b">
        <f t="shared" si="53"/>
        <v>0</v>
      </c>
      <c r="AF143" s="23" t="b">
        <f t="shared" si="54"/>
        <v>0</v>
      </c>
      <c r="AG143" s="23" t="b">
        <f t="shared" si="55"/>
        <v>0</v>
      </c>
      <c r="AH143" s="23" t="b">
        <f t="shared" si="56"/>
        <v>0</v>
      </c>
      <c r="AI143" s="23" t="b">
        <f t="shared" si="57"/>
        <v>0</v>
      </c>
      <c r="AJ143" s="23" t="b">
        <v>0</v>
      </c>
      <c r="AK143" s="23" t="b">
        <f t="shared" si="58"/>
        <v>0</v>
      </c>
      <c r="AL143" s="23" t="b">
        <f t="shared" si="59"/>
        <v>0</v>
      </c>
      <c r="AM143" s="23" t="b">
        <f t="shared" si="60"/>
        <v>0</v>
      </c>
      <c r="AN143" s="23" t="b">
        <f t="shared" si="61"/>
        <v>0</v>
      </c>
      <c r="AO143" s="23" t="b">
        <f t="shared" si="62"/>
        <v>0</v>
      </c>
      <c r="AP143" s="23" t="b">
        <f t="shared" si="63"/>
        <v>0</v>
      </c>
      <c r="AQ143" s="23" t="b">
        <f t="shared" si="64"/>
        <v>0</v>
      </c>
      <c r="AR143" s="23" t="b">
        <f t="shared" si="65"/>
        <v>0</v>
      </c>
      <c r="AS143" s="23" t="b">
        <v>0</v>
      </c>
      <c r="AT143" s="23" t="b">
        <f t="shared" si="66"/>
        <v>0</v>
      </c>
      <c r="AU143" s="23" t="b">
        <f t="shared" si="67"/>
        <v>0</v>
      </c>
      <c r="AV143" s="23" t="b">
        <f t="shared" si="68"/>
        <v>0</v>
      </c>
      <c r="AW143" s="23" t="b">
        <f t="shared" si="69"/>
        <v>0</v>
      </c>
      <c r="AX143" s="23" t="s">
        <v>710</v>
      </c>
      <c r="AY143" s="23" t="b">
        <v>0</v>
      </c>
      <c r="AZ143" s="23" t="s">
        <v>738</v>
      </c>
    </row>
    <row r="144" spans="1:52" x14ac:dyDescent="0.2">
      <c r="A144" s="23">
        <v>191</v>
      </c>
      <c r="B144" s="23" t="s">
        <v>703</v>
      </c>
      <c r="C144" s="23" t="s">
        <v>769</v>
      </c>
      <c r="D144" s="23" t="b">
        <v>1</v>
      </c>
      <c r="E144" s="23" t="s">
        <v>770</v>
      </c>
      <c r="F144" s="23" t="s">
        <v>706</v>
      </c>
      <c r="G144" s="23" t="s">
        <v>92</v>
      </c>
      <c r="H144" s="23" t="s">
        <v>758</v>
      </c>
      <c r="J144" s="23" t="s">
        <v>759</v>
      </c>
      <c r="K144" s="23" t="s">
        <v>760</v>
      </c>
      <c r="P144" s="23">
        <v>1999</v>
      </c>
      <c r="Q144" s="23">
        <v>2017</v>
      </c>
      <c r="R144" s="23" t="s">
        <v>710</v>
      </c>
      <c r="S144" s="23" t="s">
        <v>737</v>
      </c>
      <c r="T144" s="23" t="s">
        <v>198</v>
      </c>
      <c r="U144" s="23" t="s">
        <v>199</v>
      </c>
      <c r="V144" s="23" t="s">
        <v>398</v>
      </c>
      <c r="W144" s="23" t="s">
        <v>103</v>
      </c>
      <c r="X144" s="23" t="s">
        <v>104</v>
      </c>
      <c r="Y144" s="23" t="b">
        <f t="shared" si="47"/>
        <v>0</v>
      </c>
      <c r="Z144" s="23" t="b">
        <f t="shared" si="48"/>
        <v>0</v>
      </c>
      <c r="AA144" s="23" t="b">
        <f t="shared" si="49"/>
        <v>0</v>
      </c>
      <c r="AB144" s="23" t="b">
        <f t="shared" si="50"/>
        <v>0</v>
      </c>
      <c r="AC144" s="23" t="b">
        <f t="shared" si="51"/>
        <v>0</v>
      </c>
      <c r="AD144" s="23" t="b">
        <f t="shared" si="52"/>
        <v>0</v>
      </c>
      <c r="AE144" s="23" t="b">
        <f t="shared" si="53"/>
        <v>0</v>
      </c>
      <c r="AF144" s="23" t="b">
        <f t="shared" si="54"/>
        <v>0</v>
      </c>
      <c r="AG144" s="23" t="b">
        <f t="shared" si="55"/>
        <v>0</v>
      </c>
      <c r="AH144" s="23" t="b">
        <f t="shared" si="56"/>
        <v>0</v>
      </c>
      <c r="AI144" s="23" t="b">
        <f t="shared" si="57"/>
        <v>0</v>
      </c>
      <c r="AJ144" s="23" t="b">
        <v>0</v>
      </c>
      <c r="AK144" s="23" t="b">
        <f t="shared" si="58"/>
        <v>0</v>
      </c>
      <c r="AL144" s="23" t="b">
        <f t="shared" si="59"/>
        <v>0</v>
      </c>
      <c r="AM144" s="23" t="b">
        <f t="shared" si="60"/>
        <v>0</v>
      </c>
      <c r="AN144" s="23" t="b">
        <f t="shared" si="61"/>
        <v>0</v>
      </c>
      <c r="AO144" s="23" t="b">
        <f t="shared" si="62"/>
        <v>0</v>
      </c>
      <c r="AP144" s="23" t="b">
        <f t="shared" si="63"/>
        <v>0</v>
      </c>
      <c r="AQ144" s="23" t="b">
        <f t="shared" si="64"/>
        <v>0</v>
      </c>
      <c r="AR144" s="23" t="b">
        <f t="shared" si="65"/>
        <v>0</v>
      </c>
      <c r="AS144" s="23" t="b">
        <v>0</v>
      </c>
      <c r="AT144" s="23" t="b">
        <f t="shared" si="66"/>
        <v>0</v>
      </c>
      <c r="AU144" s="23" t="b">
        <f t="shared" si="67"/>
        <v>0</v>
      </c>
      <c r="AV144" s="23" t="b">
        <f t="shared" si="68"/>
        <v>0</v>
      </c>
      <c r="AW144" s="23" t="b">
        <f t="shared" si="69"/>
        <v>0</v>
      </c>
      <c r="AX144" s="23" t="s">
        <v>710</v>
      </c>
      <c r="AY144" s="23" t="b">
        <v>0</v>
      </c>
      <c r="AZ144" s="23" t="s">
        <v>738</v>
      </c>
    </row>
    <row r="145" spans="1:52" x14ac:dyDescent="0.2">
      <c r="A145" s="23">
        <v>192</v>
      </c>
      <c r="B145" s="23" t="s">
        <v>703</v>
      </c>
      <c r="C145" s="23" t="s">
        <v>771</v>
      </c>
      <c r="D145" s="23" t="b">
        <v>1</v>
      </c>
      <c r="E145" s="23" t="s">
        <v>772</v>
      </c>
      <c r="F145" s="23" t="s">
        <v>706</v>
      </c>
      <c r="G145" s="23" t="s">
        <v>92</v>
      </c>
      <c r="H145" s="23" t="s">
        <v>758</v>
      </c>
      <c r="J145" s="23" t="s">
        <v>759</v>
      </c>
      <c r="K145" s="23" t="s">
        <v>760</v>
      </c>
      <c r="P145" s="23">
        <v>2013</v>
      </c>
      <c r="Q145" s="23">
        <v>2024</v>
      </c>
      <c r="R145" s="23" t="s">
        <v>710</v>
      </c>
      <c r="S145" s="23" t="s">
        <v>737</v>
      </c>
      <c r="T145" s="23" t="s">
        <v>198</v>
      </c>
      <c r="U145" s="23" t="s">
        <v>199</v>
      </c>
      <c r="V145" s="23" t="s">
        <v>398</v>
      </c>
      <c r="W145" s="23" t="s">
        <v>103</v>
      </c>
      <c r="X145" s="23" t="s">
        <v>104</v>
      </c>
      <c r="Y145" s="23" t="b">
        <f t="shared" si="47"/>
        <v>0</v>
      </c>
      <c r="Z145" s="23" t="b">
        <f t="shared" si="48"/>
        <v>0</v>
      </c>
      <c r="AA145" s="23" t="b">
        <f t="shared" si="49"/>
        <v>0</v>
      </c>
      <c r="AB145" s="23" t="b">
        <f t="shared" si="50"/>
        <v>0</v>
      </c>
      <c r="AC145" s="23" t="b">
        <f t="shared" si="51"/>
        <v>0</v>
      </c>
      <c r="AD145" s="23" t="b">
        <f t="shared" si="52"/>
        <v>0</v>
      </c>
      <c r="AE145" s="23" t="b">
        <f t="shared" si="53"/>
        <v>0</v>
      </c>
      <c r="AF145" s="23" t="b">
        <f t="shared" si="54"/>
        <v>0</v>
      </c>
      <c r="AG145" s="23" t="b">
        <f t="shared" si="55"/>
        <v>0</v>
      </c>
      <c r="AH145" s="23" t="b">
        <f t="shared" si="56"/>
        <v>0</v>
      </c>
      <c r="AI145" s="23" t="b">
        <f t="shared" si="57"/>
        <v>0</v>
      </c>
      <c r="AJ145" s="23" t="b">
        <v>0</v>
      </c>
      <c r="AK145" s="23" t="b">
        <f t="shared" si="58"/>
        <v>0</v>
      </c>
      <c r="AL145" s="23" t="b">
        <f t="shared" si="59"/>
        <v>0</v>
      </c>
      <c r="AM145" s="23" t="b">
        <f t="shared" si="60"/>
        <v>0</v>
      </c>
      <c r="AN145" s="23" t="b">
        <f t="shared" si="61"/>
        <v>0</v>
      </c>
      <c r="AO145" s="23" t="b">
        <f t="shared" si="62"/>
        <v>0</v>
      </c>
      <c r="AP145" s="23" t="b">
        <f t="shared" si="63"/>
        <v>0</v>
      </c>
      <c r="AQ145" s="23" t="b">
        <f t="shared" si="64"/>
        <v>0</v>
      </c>
      <c r="AR145" s="23" t="b">
        <f t="shared" si="65"/>
        <v>0</v>
      </c>
      <c r="AS145" s="23" t="b">
        <v>0</v>
      </c>
      <c r="AT145" s="23" t="b">
        <f t="shared" si="66"/>
        <v>0</v>
      </c>
      <c r="AU145" s="23" t="b">
        <f t="shared" si="67"/>
        <v>0</v>
      </c>
      <c r="AV145" s="23" t="b">
        <f t="shared" si="68"/>
        <v>0</v>
      </c>
      <c r="AW145" s="23" t="b">
        <f t="shared" si="69"/>
        <v>0</v>
      </c>
      <c r="AX145" s="23" t="s">
        <v>710</v>
      </c>
      <c r="AY145" s="23" t="b">
        <v>0</v>
      </c>
      <c r="AZ145" s="23" t="s">
        <v>738</v>
      </c>
    </row>
    <row r="146" spans="1:52" x14ac:dyDescent="0.2">
      <c r="A146" s="23">
        <v>193</v>
      </c>
      <c r="B146" s="23" t="s">
        <v>703</v>
      </c>
      <c r="C146" s="23" t="s">
        <v>773</v>
      </c>
      <c r="D146" s="23" t="b">
        <v>1</v>
      </c>
      <c r="E146" s="23" t="s">
        <v>774</v>
      </c>
      <c r="F146" s="23" t="s">
        <v>706</v>
      </c>
      <c r="G146" s="23" t="s">
        <v>92</v>
      </c>
      <c r="H146" s="23" t="s">
        <v>758</v>
      </c>
      <c r="J146" s="23" t="s">
        <v>759</v>
      </c>
      <c r="K146" s="23" t="s">
        <v>760</v>
      </c>
      <c r="P146" s="23">
        <v>2021</v>
      </c>
      <c r="Q146" s="23">
        <v>2024</v>
      </c>
      <c r="R146" s="23" t="s">
        <v>710</v>
      </c>
      <c r="S146" s="23" t="s">
        <v>737</v>
      </c>
      <c r="T146" s="23" t="s">
        <v>198</v>
      </c>
      <c r="U146" s="23" t="s">
        <v>199</v>
      </c>
      <c r="V146" s="23" t="s">
        <v>398</v>
      </c>
      <c r="W146" s="23" t="s">
        <v>103</v>
      </c>
      <c r="X146" s="23" t="s">
        <v>104</v>
      </c>
      <c r="Y146" s="23" t="b">
        <f t="shared" si="47"/>
        <v>0</v>
      </c>
      <c r="Z146" s="23" t="b">
        <f t="shared" si="48"/>
        <v>0</v>
      </c>
      <c r="AA146" s="23" t="b">
        <f t="shared" si="49"/>
        <v>0</v>
      </c>
      <c r="AB146" s="23" t="b">
        <f t="shared" si="50"/>
        <v>0</v>
      </c>
      <c r="AC146" s="23" t="b">
        <f t="shared" si="51"/>
        <v>0</v>
      </c>
      <c r="AD146" s="23" t="b">
        <f t="shared" si="52"/>
        <v>0</v>
      </c>
      <c r="AE146" s="23" t="b">
        <f t="shared" si="53"/>
        <v>0</v>
      </c>
      <c r="AF146" s="23" t="b">
        <f t="shared" si="54"/>
        <v>0</v>
      </c>
      <c r="AG146" s="23" t="b">
        <f t="shared" si="55"/>
        <v>0</v>
      </c>
      <c r="AH146" s="23" t="b">
        <f t="shared" si="56"/>
        <v>0</v>
      </c>
      <c r="AI146" s="23" t="b">
        <f t="shared" si="57"/>
        <v>0</v>
      </c>
      <c r="AJ146" s="23" t="b">
        <v>0</v>
      </c>
      <c r="AK146" s="23" t="b">
        <f t="shared" si="58"/>
        <v>0</v>
      </c>
      <c r="AL146" s="23" t="b">
        <f t="shared" si="59"/>
        <v>0</v>
      </c>
      <c r="AM146" s="23" t="b">
        <f t="shared" si="60"/>
        <v>0</v>
      </c>
      <c r="AN146" s="23" t="b">
        <f t="shared" si="61"/>
        <v>0</v>
      </c>
      <c r="AO146" s="23" t="b">
        <f t="shared" si="62"/>
        <v>0</v>
      </c>
      <c r="AP146" s="23" t="b">
        <f t="shared" si="63"/>
        <v>0</v>
      </c>
      <c r="AQ146" s="23" t="b">
        <f t="shared" si="64"/>
        <v>0</v>
      </c>
      <c r="AR146" s="23" t="b">
        <f t="shared" si="65"/>
        <v>0</v>
      </c>
      <c r="AS146" s="23" t="b">
        <v>0</v>
      </c>
      <c r="AT146" s="23" t="b">
        <f t="shared" si="66"/>
        <v>0</v>
      </c>
      <c r="AU146" s="23" t="b">
        <f t="shared" si="67"/>
        <v>0</v>
      </c>
      <c r="AV146" s="23" t="b">
        <f t="shared" si="68"/>
        <v>0</v>
      </c>
      <c r="AW146" s="23" t="b">
        <f t="shared" si="69"/>
        <v>0</v>
      </c>
      <c r="AX146" s="23" t="s">
        <v>710</v>
      </c>
      <c r="AY146" s="23" t="b">
        <v>0</v>
      </c>
      <c r="AZ146" s="23" t="s">
        <v>738</v>
      </c>
    </row>
    <row r="147" spans="1:52" x14ac:dyDescent="0.2">
      <c r="A147" s="23">
        <v>194</v>
      </c>
      <c r="B147" s="23" t="s">
        <v>775</v>
      </c>
      <c r="C147" s="23" t="s">
        <v>776</v>
      </c>
      <c r="D147" s="23" t="b">
        <v>1</v>
      </c>
      <c r="E147" s="23" t="s">
        <v>777</v>
      </c>
      <c r="F147" s="23" t="s">
        <v>778</v>
      </c>
      <c r="G147" s="23" t="s">
        <v>92</v>
      </c>
      <c r="H147" s="23" t="s">
        <v>178</v>
      </c>
      <c r="I147" s="23" t="s">
        <v>779</v>
      </c>
      <c r="J147" s="23" t="s">
        <v>180</v>
      </c>
      <c r="K147" s="23" t="s">
        <v>276</v>
      </c>
      <c r="L147" s="23" t="s">
        <v>286</v>
      </c>
      <c r="M147" s="23" t="s">
        <v>780</v>
      </c>
      <c r="Q147" s="23">
        <v>2009</v>
      </c>
      <c r="R147" s="23" t="s">
        <v>277</v>
      </c>
      <c r="T147" s="23" t="s">
        <v>100</v>
      </c>
      <c r="U147" s="23" t="s">
        <v>101</v>
      </c>
      <c r="V147" s="23" t="s">
        <v>102</v>
      </c>
      <c r="W147" s="23" t="s">
        <v>103</v>
      </c>
      <c r="X147" s="23" t="s">
        <v>104</v>
      </c>
      <c r="Y147" s="23" t="b">
        <f t="shared" si="47"/>
        <v>0</v>
      </c>
      <c r="Z147" s="23" t="b">
        <f t="shared" si="48"/>
        <v>0</v>
      </c>
      <c r="AA147" s="23" t="b">
        <f t="shared" si="49"/>
        <v>1</v>
      </c>
      <c r="AB147" s="23" t="b">
        <f t="shared" si="50"/>
        <v>0</v>
      </c>
      <c r="AC147" s="23" t="b">
        <f t="shared" si="51"/>
        <v>0</v>
      </c>
      <c r="AD147" s="23" t="b">
        <f t="shared" si="52"/>
        <v>0</v>
      </c>
      <c r="AE147" s="23" t="b">
        <f t="shared" si="53"/>
        <v>0</v>
      </c>
      <c r="AF147" s="23" t="b">
        <f t="shared" si="54"/>
        <v>0</v>
      </c>
      <c r="AG147" s="23" t="b">
        <f t="shared" si="55"/>
        <v>0</v>
      </c>
      <c r="AH147" s="23" t="b">
        <f t="shared" si="56"/>
        <v>0</v>
      </c>
      <c r="AI147" s="23" t="b">
        <f t="shared" si="57"/>
        <v>0</v>
      </c>
      <c r="AJ147" s="23" t="b">
        <v>0</v>
      </c>
      <c r="AK147" s="23" t="b">
        <f t="shared" si="58"/>
        <v>0</v>
      </c>
      <c r="AL147" s="23" t="b">
        <f t="shared" si="59"/>
        <v>0</v>
      </c>
      <c r="AM147" s="23" t="b">
        <f t="shared" si="60"/>
        <v>0</v>
      </c>
      <c r="AN147" s="23" t="b">
        <f t="shared" si="61"/>
        <v>0</v>
      </c>
      <c r="AO147" s="23" t="b">
        <f t="shared" si="62"/>
        <v>0</v>
      </c>
      <c r="AP147" s="23" t="b">
        <f t="shared" si="63"/>
        <v>0</v>
      </c>
      <c r="AQ147" s="23" t="b">
        <f t="shared" si="64"/>
        <v>1</v>
      </c>
      <c r="AR147" s="23" t="b">
        <f t="shared" si="65"/>
        <v>0</v>
      </c>
      <c r="AS147" s="23" t="b">
        <v>0</v>
      </c>
      <c r="AT147" s="23" t="b">
        <f t="shared" si="66"/>
        <v>0</v>
      </c>
      <c r="AU147" s="23" t="b">
        <f t="shared" si="67"/>
        <v>0</v>
      </c>
      <c r="AV147" s="23" t="b">
        <f t="shared" si="68"/>
        <v>0</v>
      </c>
      <c r="AW147" s="23" t="b">
        <f t="shared" si="69"/>
        <v>0</v>
      </c>
      <c r="AX147" s="23" t="s">
        <v>278</v>
      </c>
      <c r="AY147" s="23" t="b">
        <v>1</v>
      </c>
      <c r="AZ147" s="23" t="s">
        <v>105</v>
      </c>
    </row>
    <row r="148" spans="1:52" x14ac:dyDescent="0.2">
      <c r="A148" s="23">
        <v>195</v>
      </c>
      <c r="B148" s="23" t="s">
        <v>775</v>
      </c>
      <c r="C148" s="23" t="s">
        <v>781</v>
      </c>
      <c r="D148" s="23" t="b">
        <v>1</v>
      </c>
      <c r="E148" s="23" t="s">
        <v>782</v>
      </c>
      <c r="F148" s="23" t="s">
        <v>783</v>
      </c>
      <c r="G148" s="23" t="s">
        <v>92</v>
      </c>
      <c r="H148" s="23" t="s">
        <v>178</v>
      </c>
      <c r="I148" s="23" t="s">
        <v>784</v>
      </c>
      <c r="J148" s="23" t="s">
        <v>180</v>
      </c>
      <c r="K148" s="23" t="s">
        <v>276</v>
      </c>
      <c r="Q148" s="23">
        <v>2009</v>
      </c>
      <c r="R148" s="23" t="s">
        <v>277</v>
      </c>
      <c r="T148" s="23" t="s">
        <v>100</v>
      </c>
      <c r="U148" s="23" t="s">
        <v>101</v>
      </c>
      <c r="V148" s="23" t="s">
        <v>102</v>
      </c>
      <c r="W148" s="23" t="s">
        <v>103</v>
      </c>
      <c r="X148" s="23" t="s">
        <v>104</v>
      </c>
      <c r="Y148" s="23" t="b">
        <f t="shared" si="47"/>
        <v>0</v>
      </c>
      <c r="Z148" s="23" t="b">
        <f t="shared" si="48"/>
        <v>0</v>
      </c>
      <c r="AA148" s="23" t="b">
        <f t="shared" si="49"/>
        <v>0</v>
      </c>
      <c r="AB148" s="23" t="b">
        <f t="shared" si="50"/>
        <v>0</v>
      </c>
      <c r="AC148" s="23" t="b">
        <f t="shared" si="51"/>
        <v>0</v>
      </c>
      <c r="AD148" s="23" t="b">
        <f t="shared" si="52"/>
        <v>0</v>
      </c>
      <c r="AE148" s="23" t="b">
        <f t="shared" si="53"/>
        <v>0</v>
      </c>
      <c r="AF148" s="23" t="b">
        <f t="shared" si="54"/>
        <v>0</v>
      </c>
      <c r="AG148" s="23" t="b">
        <f t="shared" si="55"/>
        <v>0</v>
      </c>
      <c r="AH148" s="23" t="b">
        <f t="shared" si="56"/>
        <v>0</v>
      </c>
      <c r="AI148" s="23" t="b">
        <f t="shared" si="57"/>
        <v>0</v>
      </c>
      <c r="AJ148" s="23" t="b">
        <v>1</v>
      </c>
      <c r="AK148" s="23" t="b">
        <f t="shared" si="58"/>
        <v>0</v>
      </c>
      <c r="AL148" s="23" t="b">
        <f t="shared" si="59"/>
        <v>0</v>
      </c>
      <c r="AM148" s="23" t="b">
        <f t="shared" si="60"/>
        <v>0</v>
      </c>
      <c r="AN148" s="23" t="b">
        <f t="shared" si="61"/>
        <v>0</v>
      </c>
      <c r="AO148" s="23" t="b">
        <f t="shared" si="62"/>
        <v>0</v>
      </c>
      <c r="AP148" s="23" t="b">
        <f t="shared" si="63"/>
        <v>0</v>
      </c>
      <c r="AQ148" s="23" t="b">
        <f t="shared" si="64"/>
        <v>0</v>
      </c>
      <c r="AR148" s="23" t="b">
        <f t="shared" si="65"/>
        <v>0</v>
      </c>
      <c r="AS148" s="23" t="b">
        <v>1</v>
      </c>
      <c r="AT148" s="23" t="b">
        <f t="shared" si="66"/>
        <v>0</v>
      </c>
      <c r="AU148" s="23" t="b">
        <f t="shared" si="67"/>
        <v>0</v>
      </c>
      <c r="AV148" s="23" t="b">
        <f t="shared" si="68"/>
        <v>0</v>
      </c>
      <c r="AW148" s="23" t="b">
        <f t="shared" si="69"/>
        <v>0</v>
      </c>
      <c r="AX148" s="23" t="s">
        <v>278</v>
      </c>
      <c r="AY148" s="23" t="b">
        <v>1</v>
      </c>
      <c r="AZ148" s="23" t="s">
        <v>105</v>
      </c>
    </row>
    <row r="149" spans="1:52" x14ac:dyDescent="0.2">
      <c r="A149" s="23">
        <v>196</v>
      </c>
      <c r="B149" s="23" t="s">
        <v>775</v>
      </c>
      <c r="C149" s="23" t="s">
        <v>785</v>
      </c>
      <c r="D149" s="23" t="b">
        <v>1</v>
      </c>
      <c r="E149" s="23" t="s">
        <v>786</v>
      </c>
      <c r="F149" s="23" t="s">
        <v>787</v>
      </c>
      <c r="G149" s="23" t="s">
        <v>92</v>
      </c>
      <c r="H149" s="23" t="s">
        <v>178</v>
      </c>
      <c r="I149" s="23" t="s">
        <v>788</v>
      </c>
      <c r="J149" s="23" t="s">
        <v>180</v>
      </c>
      <c r="K149" s="23" t="s">
        <v>276</v>
      </c>
      <c r="Q149" s="23">
        <v>2009</v>
      </c>
      <c r="R149" s="23" t="s">
        <v>277</v>
      </c>
      <c r="T149" s="23" t="s">
        <v>100</v>
      </c>
      <c r="U149" s="23" t="s">
        <v>101</v>
      </c>
      <c r="V149" s="23" t="s">
        <v>102</v>
      </c>
      <c r="W149" s="23" t="s">
        <v>103</v>
      </c>
      <c r="X149" s="23" t="s">
        <v>104</v>
      </c>
      <c r="Y149" s="23" t="b">
        <f t="shared" si="47"/>
        <v>0</v>
      </c>
      <c r="Z149" s="23" t="b">
        <f t="shared" si="48"/>
        <v>0</v>
      </c>
      <c r="AA149" s="23" t="b">
        <f t="shared" si="49"/>
        <v>0</v>
      </c>
      <c r="AB149" s="23" t="b">
        <f t="shared" si="50"/>
        <v>0</v>
      </c>
      <c r="AC149" s="23" t="b">
        <f t="shared" si="51"/>
        <v>0</v>
      </c>
      <c r="AD149" s="23" t="b">
        <f t="shared" si="52"/>
        <v>0</v>
      </c>
      <c r="AE149" s="23" t="b">
        <f t="shared" si="53"/>
        <v>0</v>
      </c>
      <c r="AF149" s="23" t="b">
        <f t="shared" si="54"/>
        <v>0</v>
      </c>
      <c r="AG149" s="23" t="b">
        <f t="shared" si="55"/>
        <v>0</v>
      </c>
      <c r="AH149" s="23" t="b">
        <f t="shared" si="56"/>
        <v>0</v>
      </c>
      <c r="AI149" s="23" t="b">
        <f t="shared" si="57"/>
        <v>0</v>
      </c>
      <c r="AJ149" s="23" t="b">
        <v>1</v>
      </c>
      <c r="AK149" s="23" t="b">
        <f t="shared" si="58"/>
        <v>0</v>
      </c>
      <c r="AL149" s="23" t="b">
        <f t="shared" si="59"/>
        <v>0</v>
      </c>
      <c r="AM149" s="23" t="b">
        <f t="shared" si="60"/>
        <v>0</v>
      </c>
      <c r="AN149" s="23" t="b">
        <f t="shared" si="61"/>
        <v>0</v>
      </c>
      <c r="AO149" s="23" t="b">
        <f t="shared" si="62"/>
        <v>0</v>
      </c>
      <c r="AP149" s="23" t="b">
        <f t="shared" si="63"/>
        <v>0</v>
      </c>
      <c r="AQ149" s="23" t="b">
        <f t="shared" si="64"/>
        <v>0</v>
      </c>
      <c r="AR149" s="23" t="b">
        <f t="shared" si="65"/>
        <v>0</v>
      </c>
      <c r="AS149" s="23" t="b">
        <v>1</v>
      </c>
      <c r="AT149" s="23" t="b">
        <f t="shared" si="66"/>
        <v>0</v>
      </c>
      <c r="AU149" s="23" t="b">
        <f t="shared" si="67"/>
        <v>0</v>
      </c>
      <c r="AV149" s="23" t="b">
        <f t="shared" si="68"/>
        <v>0</v>
      </c>
      <c r="AW149" s="23" t="b">
        <f t="shared" si="69"/>
        <v>0</v>
      </c>
      <c r="AX149" s="23" t="s">
        <v>278</v>
      </c>
      <c r="AY149" s="23" t="b">
        <v>1</v>
      </c>
      <c r="AZ149" s="23" t="s">
        <v>105</v>
      </c>
    </row>
    <row r="150" spans="1:52" x14ac:dyDescent="0.2">
      <c r="A150" s="23">
        <v>197</v>
      </c>
      <c r="B150" s="23" t="s">
        <v>775</v>
      </c>
      <c r="C150" s="23" t="s">
        <v>789</v>
      </c>
      <c r="D150" s="23" t="b">
        <v>1</v>
      </c>
      <c r="E150" s="23" t="s">
        <v>790</v>
      </c>
      <c r="F150" s="23" t="s">
        <v>791</v>
      </c>
      <c r="G150" s="23" t="s">
        <v>92</v>
      </c>
      <c r="H150" s="23" t="s">
        <v>178</v>
      </c>
      <c r="I150" s="23" t="s">
        <v>792</v>
      </c>
      <c r="J150" s="23" t="s">
        <v>180</v>
      </c>
      <c r="K150" s="23" t="s">
        <v>276</v>
      </c>
      <c r="Q150" s="23">
        <v>2009</v>
      </c>
      <c r="R150" s="23" t="s">
        <v>277</v>
      </c>
      <c r="T150" s="23" t="s">
        <v>100</v>
      </c>
      <c r="U150" s="23" t="s">
        <v>101</v>
      </c>
      <c r="V150" s="23" t="s">
        <v>102</v>
      </c>
      <c r="W150" s="23" t="s">
        <v>103</v>
      </c>
      <c r="X150" s="23" t="s">
        <v>104</v>
      </c>
      <c r="Y150" s="23" t="b">
        <f t="shared" si="47"/>
        <v>0</v>
      </c>
      <c r="Z150" s="23" t="b">
        <f t="shared" si="48"/>
        <v>0</v>
      </c>
      <c r="AA150" s="23" t="b">
        <f t="shared" si="49"/>
        <v>0</v>
      </c>
      <c r="AB150" s="23" t="b">
        <f t="shared" si="50"/>
        <v>0</v>
      </c>
      <c r="AC150" s="23" t="b">
        <f t="shared" si="51"/>
        <v>0</v>
      </c>
      <c r="AD150" s="23" t="b">
        <f t="shared" si="52"/>
        <v>0</v>
      </c>
      <c r="AE150" s="23" t="b">
        <f t="shared" si="53"/>
        <v>0</v>
      </c>
      <c r="AF150" s="23" t="b">
        <f t="shared" si="54"/>
        <v>0</v>
      </c>
      <c r="AG150" s="23" t="b">
        <f t="shared" si="55"/>
        <v>0</v>
      </c>
      <c r="AH150" s="23" t="b">
        <f t="shared" si="56"/>
        <v>0</v>
      </c>
      <c r="AI150" s="23" t="b">
        <f t="shared" si="57"/>
        <v>0</v>
      </c>
      <c r="AJ150" s="23" t="b">
        <v>1</v>
      </c>
      <c r="AK150" s="23" t="b">
        <f t="shared" si="58"/>
        <v>0</v>
      </c>
      <c r="AL150" s="23" t="b">
        <f t="shared" si="59"/>
        <v>0</v>
      </c>
      <c r="AM150" s="23" t="b">
        <f t="shared" si="60"/>
        <v>0</v>
      </c>
      <c r="AN150" s="23" t="b">
        <f t="shared" si="61"/>
        <v>0</v>
      </c>
      <c r="AO150" s="23" t="b">
        <f t="shared" si="62"/>
        <v>0</v>
      </c>
      <c r="AP150" s="23" t="b">
        <f t="shared" si="63"/>
        <v>0</v>
      </c>
      <c r="AQ150" s="23" t="b">
        <f t="shared" si="64"/>
        <v>0</v>
      </c>
      <c r="AR150" s="23" t="b">
        <f t="shared" si="65"/>
        <v>0</v>
      </c>
      <c r="AS150" s="23" t="b">
        <v>1</v>
      </c>
      <c r="AT150" s="23" t="b">
        <f t="shared" si="66"/>
        <v>0</v>
      </c>
      <c r="AU150" s="23" t="b">
        <f t="shared" si="67"/>
        <v>0</v>
      </c>
      <c r="AV150" s="23" t="b">
        <f t="shared" si="68"/>
        <v>0</v>
      </c>
      <c r="AW150" s="23" t="b">
        <f t="shared" si="69"/>
        <v>0</v>
      </c>
      <c r="AX150" s="23" t="s">
        <v>278</v>
      </c>
      <c r="AY150" s="23" t="b">
        <v>1</v>
      </c>
      <c r="AZ150" s="23" t="s">
        <v>105</v>
      </c>
    </row>
    <row r="151" spans="1:52" x14ac:dyDescent="0.2">
      <c r="A151" s="23">
        <v>198</v>
      </c>
      <c r="B151" s="23" t="s">
        <v>775</v>
      </c>
      <c r="C151" s="23" t="s">
        <v>793</v>
      </c>
      <c r="D151" s="23" t="b">
        <v>1</v>
      </c>
      <c r="E151" s="23" t="s">
        <v>794</v>
      </c>
      <c r="F151" s="23" t="s">
        <v>795</v>
      </c>
      <c r="G151" s="23" t="s">
        <v>92</v>
      </c>
      <c r="H151" s="23" t="s">
        <v>178</v>
      </c>
      <c r="I151" s="23" t="s">
        <v>796</v>
      </c>
      <c r="J151" s="23" t="s">
        <v>180</v>
      </c>
      <c r="K151" s="23" t="s">
        <v>276</v>
      </c>
      <c r="L151" s="23" t="s">
        <v>286</v>
      </c>
      <c r="M151" s="23" t="s">
        <v>780</v>
      </c>
      <c r="Q151" s="23">
        <v>2009</v>
      </c>
      <c r="R151" s="23" t="s">
        <v>277</v>
      </c>
      <c r="T151" s="23" t="s">
        <v>100</v>
      </c>
      <c r="U151" s="23" t="s">
        <v>101</v>
      </c>
      <c r="V151" s="23" t="s">
        <v>102</v>
      </c>
      <c r="W151" s="23" t="s">
        <v>103</v>
      </c>
      <c r="X151" s="23" t="s">
        <v>104</v>
      </c>
      <c r="Y151" s="23" t="b">
        <f t="shared" si="47"/>
        <v>0</v>
      </c>
      <c r="Z151" s="23" t="b">
        <f t="shared" si="48"/>
        <v>0</v>
      </c>
      <c r="AA151" s="23" t="b">
        <f t="shared" si="49"/>
        <v>1</v>
      </c>
      <c r="AB151" s="23" t="b">
        <f t="shared" si="50"/>
        <v>0</v>
      </c>
      <c r="AC151" s="23" t="b">
        <f t="shared" si="51"/>
        <v>0</v>
      </c>
      <c r="AD151" s="23" t="b">
        <f t="shared" si="52"/>
        <v>0</v>
      </c>
      <c r="AE151" s="23" t="b">
        <f t="shared" si="53"/>
        <v>0</v>
      </c>
      <c r="AF151" s="23" t="b">
        <f t="shared" si="54"/>
        <v>0</v>
      </c>
      <c r="AG151" s="23" t="b">
        <f t="shared" si="55"/>
        <v>0</v>
      </c>
      <c r="AH151" s="23" t="b">
        <f t="shared" si="56"/>
        <v>0</v>
      </c>
      <c r="AI151" s="23" t="b">
        <f t="shared" si="57"/>
        <v>0</v>
      </c>
      <c r="AJ151" s="23" t="b">
        <v>0</v>
      </c>
      <c r="AK151" s="23" t="b">
        <f t="shared" si="58"/>
        <v>0</v>
      </c>
      <c r="AL151" s="23" t="b">
        <f t="shared" si="59"/>
        <v>0</v>
      </c>
      <c r="AM151" s="23" t="b">
        <f t="shared" si="60"/>
        <v>0</v>
      </c>
      <c r="AN151" s="23" t="b">
        <f t="shared" si="61"/>
        <v>0</v>
      </c>
      <c r="AO151" s="23" t="b">
        <f t="shared" si="62"/>
        <v>0</v>
      </c>
      <c r="AP151" s="23" t="b">
        <f t="shared" si="63"/>
        <v>0</v>
      </c>
      <c r="AQ151" s="23" t="b">
        <f t="shared" si="64"/>
        <v>1</v>
      </c>
      <c r="AR151" s="23" t="b">
        <f t="shared" si="65"/>
        <v>0</v>
      </c>
      <c r="AS151" s="23" t="b">
        <v>0</v>
      </c>
      <c r="AT151" s="23" t="b">
        <f t="shared" si="66"/>
        <v>0</v>
      </c>
      <c r="AU151" s="23" t="b">
        <f t="shared" si="67"/>
        <v>0</v>
      </c>
      <c r="AV151" s="23" t="b">
        <f t="shared" si="68"/>
        <v>0</v>
      </c>
      <c r="AW151" s="23" t="b">
        <f t="shared" si="69"/>
        <v>0</v>
      </c>
      <c r="AX151" s="23" t="s">
        <v>278</v>
      </c>
      <c r="AY151" s="23" t="b">
        <v>1</v>
      </c>
      <c r="AZ151" s="23" t="s">
        <v>105</v>
      </c>
    </row>
    <row r="152" spans="1:52" x14ac:dyDescent="0.2">
      <c r="A152" s="23">
        <v>199</v>
      </c>
      <c r="B152" s="23" t="s">
        <v>775</v>
      </c>
      <c r="C152" s="23" t="s">
        <v>797</v>
      </c>
      <c r="D152" s="23" t="b">
        <v>1</v>
      </c>
      <c r="E152" s="23" t="s">
        <v>798</v>
      </c>
      <c r="F152" s="23" t="s">
        <v>799</v>
      </c>
      <c r="G152" s="23" t="s">
        <v>92</v>
      </c>
      <c r="H152" s="23" t="s">
        <v>462</v>
      </c>
      <c r="I152" s="23" t="s">
        <v>800</v>
      </c>
      <c r="J152" s="23" t="s">
        <v>180</v>
      </c>
      <c r="K152" s="23" t="s">
        <v>96</v>
      </c>
      <c r="Q152" s="23">
        <v>2001</v>
      </c>
      <c r="R152" s="23" t="s">
        <v>132</v>
      </c>
      <c r="T152" s="23" t="s">
        <v>207</v>
      </c>
      <c r="U152" s="23" t="s">
        <v>111</v>
      </c>
      <c r="V152" s="23" t="s">
        <v>112</v>
      </c>
      <c r="W152" s="23" t="s">
        <v>103</v>
      </c>
      <c r="X152" s="23" t="s">
        <v>104</v>
      </c>
      <c r="Y152" s="23" t="b">
        <f t="shared" si="47"/>
        <v>0</v>
      </c>
      <c r="Z152" s="23" t="b">
        <f t="shared" si="48"/>
        <v>0</v>
      </c>
      <c r="AA152" s="23" t="b">
        <f t="shared" si="49"/>
        <v>0</v>
      </c>
      <c r="AB152" s="23" t="b">
        <f t="shared" si="50"/>
        <v>0</v>
      </c>
      <c r="AC152" s="23" t="b">
        <f t="shared" si="51"/>
        <v>0</v>
      </c>
      <c r="AD152" s="23" t="b">
        <f t="shared" si="52"/>
        <v>0</v>
      </c>
      <c r="AE152" s="23" t="b">
        <f t="shared" si="53"/>
        <v>0</v>
      </c>
      <c r="AF152" s="23" t="b">
        <f t="shared" si="54"/>
        <v>0</v>
      </c>
      <c r="AG152" s="23" t="b">
        <f t="shared" si="55"/>
        <v>0</v>
      </c>
      <c r="AH152" s="23" t="b">
        <f t="shared" si="56"/>
        <v>0</v>
      </c>
      <c r="AI152" s="23" t="b">
        <f t="shared" si="57"/>
        <v>0</v>
      </c>
      <c r="AJ152" s="23" t="b">
        <v>1</v>
      </c>
      <c r="AK152" s="23" t="b">
        <f t="shared" si="58"/>
        <v>0</v>
      </c>
      <c r="AL152" s="23" t="b">
        <f t="shared" si="59"/>
        <v>0</v>
      </c>
      <c r="AM152" s="23" t="b">
        <f t="shared" si="60"/>
        <v>0</v>
      </c>
      <c r="AN152" s="23" t="b">
        <f t="shared" si="61"/>
        <v>0</v>
      </c>
      <c r="AO152" s="23" t="b">
        <f t="shared" si="62"/>
        <v>0</v>
      </c>
      <c r="AP152" s="23" t="b">
        <f t="shared" si="63"/>
        <v>0</v>
      </c>
      <c r="AQ152" s="23" t="b">
        <f t="shared" si="64"/>
        <v>0</v>
      </c>
      <c r="AR152" s="23" t="b">
        <f t="shared" si="65"/>
        <v>0</v>
      </c>
      <c r="AS152" s="23" t="b">
        <v>1</v>
      </c>
      <c r="AT152" s="23" t="b">
        <f t="shared" si="66"/>
        <v>0</v>
      </c>
      <c r="AU152" s="23" t="b">
        <f t="shared" si="67"/>
        <v>0</v>
      </c>
      <c r="AV152" s="23" t="b">
        <f t="shared" si="68"/>
        <v>0</v>
      </c>
      <c r="AW152" s="23" t="b">
        <f t="shared" si="69"/>
        <v>0</v>
      </c>
      <c r="AX152" s="23" t="s">
        <v>132</v>
      </c>
      <c r="AY152" s="23" t="b">
        <v>0</v>
      </c>
      <c r="AZ152" s="23" t="s">
        <v>105</v>
      </c>
    </row>
    <row r="153" spans="1:52" x14ac:dyDescent="0.2">
      <c r="A153" s="23">
        <v>200</v>
      </c>
      <c r="B153" s="23" t="s">
        <v>775</v>
      </c>
      <c r="C153" s="23" t="s">
        <v>801</v>
      </c>
      <c r="D153" s="23" t="b">
        <v>1</v>
      </c>
      <c r="E153" s="23" t="s">
        <v>802</v>
      </c>
      <c r="F153" s="23" t="s">
        <v>803</v>
      </c>
      <c r="G153" s="23" t="s">
        <v>92</v>
      </c>
      <c r="H153" s="23" t="s">
        <v>388</v>
      </c>
      <c r="J153" s="23" t="s">
        <v>240</v>
      </c>
      <c r="K153" s="23" t="s">
        <v>804</v>
      </c>
      <c r="Q153" s="23">
        <v>2019</v>
      </c>
      <c r="R153" s="23" t="s">
        <v>242</v>
      </c>
      <c r="T153" s="23" t="s">
        <v>243</v>
      </c>
      <c r="U153" s="23" t="s">
        <v>244</v>
      </c>
      <c r="V153" s="23" t="s">
        <v>223</v>
      </c>
      <c r="W153" s="23" t="s">
        <v>103</v>
      </c>
      <c r="X153" s="23" t="s">
        <v>104</v>
      </c>
      <c r="Y153" s="23" t="b">
        <f t="shared" si="47"/>
        <v>0</v>
      </c>
      <c r="Z153" s="23" t="b">
        <f t="shared" si="48"/>
        <v>0</v>
      </c>
      <c r="AA153" s="23" t="b">
        <f t="shared" si="49"/>
        <v>0</v>
      </c>
      <c r="AB153" s="23" t="b">
        <f t="shared" si="50"/>
        <v>0</v>
      </c>
      <c r="AC153" s="23" t="b">
        <f t="shared" si="51"/>
        <v>0</v>
      </c>
      <c r="AD153" s="23" t="b">
        <f t="shared" si="52"/>
        <v>0</v>
      </c>
      <c r="AE153" s="23" t="b">
        <f t="shared" si="53"/>
        <v>0</v>
      </c>
      <c r="AF153" s="23" t="b">
        <f t="shared" si="54"/>
        <v>0</v>
      </c>
      <c r="AG153" s="23" t="b">
        <f t="shared" si="55"/>
        <v>0</v>
      </c>
      <c r="AH153" s="23" t="b">
        <f t="shared" si="56"/>
        <v>0</v>
      </c>
      <c r="AI153" s="23" t="b">
        <f t="shared" si="57"/>
        <v>0</v>
      </c>
      <c r="AJ153" s="23" t="b">
        <v>1</v>
      </c>
      <c r="AK153" s="23" t="b">
        <f t="shared" si="58"/>
        <v>0</v>
      </c>
      <c r="AL153" s="23" t="b">
        <f t="shared" si="59"/>
        <v>0</v>
      </c>
      <c r="AM153" s="23" t="b">
        <f t="shared" si="60"/>
        <v>0</v>
      </c>
      <c r="AN153" s="23" t="b">
        <f t="shared" si="61"/>
        <v>0</v>
      </c>
      <c r="AO153" s="23" t="b">
        <f t="shared" si="62"/>
        <v>0</v>
      </c>
      <c r="AP153" s="23" t="b">
        <f t="shared" si="63"/>
        <v>0</v>
      </c>
      <c r="AQ153" s="23" t="b">
        <f t="shared" si="64"/>
        <v>0</v>
      </c>
      <c r="AR153" s="23" t="b">
        <f t="shared" si="65"/>
        <v>0</v>
      </c>
      <c r="AS153" s="23" t="b">
        <v>1</v>
      </c>
      <c r="AT153" s="23" t="b">
        <f t="shared" si="66"/>
        <v>0</v>
      </c>
      <c r="AU153" s="23" t="b">
        <f t="shared" si="67"/>
        <v>0</v>
      </c>
      <c r="AV153" s="23" t="b">
        <f t="shared" si="68"/>
        <v>0</v>
      </c>
      <c r="AW153" s="23" t="b">
        <f t="shared" si="69"/>
        <v>0</v>
      </c>
      <c r="AX153" s="23" t="s">
        <v>242</v>
      </c>
      <c r="AY153" s="23" t="b">
        <v>1</v>
      </c>
      <c r="AZ153" s="23" t="s">
        <v>105</v>
      </c>
    </row>
    <row r="154" spans="1:52" x14ac:dyDescent="0.2">
      <c r="A154" s="23">
        <v>201</v>
      </c>
      <c r="B154" s="23" t="s">
        <v>775</v>
      </c>
      <c r="C154" s="23" t="s">
        <v>805</v>
      </c>
      <c r="D154" s="23" t="b">
        <v>1</v>
      </c>
      <c r="E154" s="23" t="s">
        <v>806</v>
      </c>
      <c r="F154" s="23" t="s">
        <v>807</v>
      </c>
      <c r="G154" s="23" t="s">
        <v>92</v>
      </c>
      <c r="H154" s="23" t="s">
        <v>388</v>
      </c>
      <c r="J154" s="23" t="s">
        <v>240</v>
      </c>
      <c r="K154" s="23" t="s">
        <v>808</v>
      </c>
      <c r="Q154" s="23">
        <v>2019</v>
      </c>
      <c r="R154" s="23" t="s">
        <v>242</v>
      </c>
      <c r="T154" s="23" t="s">
        <v>146</v>
      </c>
      <c r="U154" s="23" t="s">
        <v>111</v>
      </c>
      <c r="V154" s="23" t="s">
        <v>112</v>
      </c>
      <c r="W154" s="23" t="s">
        <v>103</v>
      </c>
      <c r="X154" s="23" t="s">
        <v>104</v>
      </c>
      <c r="Y154" s="23" t="b">
        <f t="shared" si="47"/>
        <v>0</v>
      </c>
      <c r="Z154" s="23" t="b">
        <f t="shared" si="48"/>
        <v>0</v>
      </c>
      <c r="AA154" s="23" t="b">
        <f t="shared" si="49"/>
        <v>0</v>
      </c>
      <c r="AB154" s="23" t="b">
        <f t="shared" si="50"/>
        <v>0</v>
      </c>
      <c r="AC154" s="23" t="b">
        <f t="shared" si="51"/>
        <v>0</v>
      </c>
      <c r="AD154" s="23" t="b">
        <f t="shared" si="52"/>
        <v>0</v>
      </c>
      <c r="AE154" s="23" t="b">
        <f t="shared" si="53"/>
        <v>0</v>
      </c>
      <c r="AF154" s="23" t="b">
        <f t="shared" si="54"/>
        <v>0</v>
      </c>
      <c r="AG154" s="23" t="b">
        <f t="shared" si="55"/>
        <v>0</v>
      </c>
      <c r="AH154" s="23" t="b">
        <f t="shared" si="56"/>
        <v>0</v>
      </c>
      <c r="AI154" s="23" t="b">
        <f t="shared" si="57"/>
        <v>0</v>
      </c>
      <c r="AJ154" s="23" t="b">
        <v>1</v>
      </c>
      <c r="AK154" s="23" t="b">
        <f t="shared" si="58"/>
        <v>0</v>
      </c>
      <c r="AL154" s="23" t="b">
        <f t="shared" si="59"/>
        <v>0</v>
      </c>
      <c r="AM154" s="23" t="b">
        <f t="shared" si="60"/>
        <v>0</v>
      </c>
      <c r="AN154" s="23" t="b">
        <f t="shared" si="61"/>
        <v>0</v>
      </c>
      <c r="AO154" s="23" t="b">
        <f t="shared" si="62"/>
        <v>0</v>
      </c>
      <c r="AP154" s="23" t="b">
        <f t="shared" si="63"/>
        <v>0</v>
      </c>
      <c r="AQ154" s="23" t="b">
        <f t="shared" si="64"/>
        <v>0</v>
      </c>
      <c r="AR154" s="23" t="b">
        <f t="shared" si="65"/>
        <v>0</v>
      </c>
      <c r="AS154" s="23" t="b">
        <v>1</v>
      </c>
      <c r="AT154" s="23" t="b">
        <f t="shared" si="66"/>
        <v>0</v>
      </c>
      <c r="AU154" s="23" t="b">
        <f t="shared" si="67"/>
        <v>0</v>
      </c>
      <c r="AV154" s="23" t="b">
        <f t="shared" si="68"/>
        <v>0</v>
      </c>
      <c r="AW154" s="23" t="b">
        <f t="shared" si="69"/>
        <v>0</v>
      </c>
      <c r="AX154" s="23" t="s">
        <v>242</v>
      </c>
      <c r="AY154" s="23" t="b">
        <v>1</v>
      </c>
      <c r="AZ154" s="23" t="s">
        <v>105</v>
      </c>
    </row>
    <row r="155" spans="1:52" x14ac:dyDescent="0.2">
      <c r="A155" s="23">
        <v>202</v>
      </c>
      <c r="B155" s="23" t="s">
        <v>775</v>
      </c>
      <c r="C155" s="23" t="s">
        <v>809</v>
      </c>
      <c r="D155" s="23" t="b">
        <v>1</v>
      </c>
      <c r="E155" s="25" t="s">
        <v>1318</v>
      </c>
      <c r="F155" s="23" t="s">
        <v>810</v>
      </c>
      <c r="G155" s="23" t="s">
        <v>92</v>
      </c>
      <c r="H155" s="23" t="s">
        <v>388</v>
      </c>
      <c r="J155" s="23" t="s">
        <v>240</v>
      </c>
      <c r="K155" s="23" t="s">
        <v>811</v>
      </c>
      <c r="P155" s="23">
        <v>2017</v>
      </c>
      <c r="Q155" s="23">
        <v>2018</v>
      </c>
      <c r="R155" s="23" t="s">
        <v>242</v>
      </c>
      <c r="T155" s="23" t="s">
        <v>146</v>
      </c>
      <c r="U155" s="23" t="s">
        <v>111</v>
      </c>
      <c r="V155" s="23" t="s">
        <v>112</v>
      </c>
      <c r="W155" s="23" t="s">
        <v>103</v>
      </c>
      <c r="X155" s="23" t="s">
        <v>104</v>
      </c>
      <c r="Y155" s="23" t="b">
        <f t="shared" si="47"/>
        <v>0</v>
      </c>
      <c r="Z155" s="23" t="b">
        <f t="shared" si="48"/>
        <v>0</v>
      </c>
      <c r="AA155" s="23" t="b">
        <f t="shared" si="49"/>
        <v>0</v>
      </c>
      <c r="AB155" s="23" t="b">
        <f t="shared" si="50"/>
        <v>0</v>
      </c>
      <c r="AC155" s="23" t="b">
        <f t="shared" si="51"/>
        <v>0</v>
      </c>
      <c r="AD155" s="23" t="b">
        <f t="shared" si="52"/>
        <v>0</v>
      </c>
      <c r="AE155" s="23" t="b">
        <f t="shared" si="53"/>
        <v>0</v>
      </c>
      <c r="AF155" s="23" t="b">
        <f t="shared" si="54"/>
        <v>0</v>
      </c>
      <c r="AG155" s="23" t="b">
        <f t="shared" si="55"/>
        <v>0</v>
      </c>
      <c r="AH155" s="23" t="b">
        <f t="shared" si="56"/>
        <v>0</v>
      </c>
      <c r="AI155" s="23" t="b">
        <f t="shared" si="57"/>
        <v>0</v>
      </c>
      <c r="AJ155" s="23" t="b">
        <v>0</v>
      </c>
      <c r="AK155" s="23" t="b">
        <f t="shared" si="58"/>
        <v>0</v>
      </c>
      <c r="AL155" s="23" t="b">
        <f t="shared" si="59"/>
        <v>0</v>
      </c>
      <c r="AM155" s="23" t="b">
        <f t="shared" si="60"/>
        <v>0</v>
      </c>
      <c r="AN155" s="23" t="b">
        <f t="shared" si="61"/>
        <v>0</v>
      </c>
      <c r="AO155" s="23" t="b">
        <f t="shared" si="62"/>
        <v>0</v>
      </c>
      <c r="AP155" s="23" t="b">
        <f t="shared" si="63"/>
        <v>0</v>
      </c>
      <c r="AQ155" s="23" t="b">
        <f t="shared" si="64"/>
        <v>0</v>
      </c>
      <c r="AR155" s="23" t="b">
        <f t="shared" si="65"/>
        <v>0</v>
      </c>
      <c r="AS155" s="23" t="b">
        <v>0</v>
      </c>
      <c r="AT155" s="23" t="b">
        <f t="shared" si="66"/>
        <v>0</v>
      </c>
      <c r="AU155" s="23" t="b">
        <f t="shared" si="67"/>
        <v>0</v>
      </c>
      <c r="AV155" s="23" t="b">
        <f t="shared" si="68"/>
        <v>0</v>
      </c>
      <c r="AW155" s="23" t="b">
        <f t="shared" si="69"/>
        <v>0</v>
      </c>
      <c r="AX155" s="23" t="s">
        <v>242</v>
      </c>
      <c r="AY155" s="23" t="b">
        <v>1</v>
      </c>
      <c r="AZ155" s="23" t="s">
        <v>105</v>
      </c>
    </row>
    <row r="156" spans="1:52" x14ac:dyDescent="0.2">
      <c r="A156" s="23">
        <v>203</v>
      </c>
      <c r="B156" s="23" t="s">
        <v>775</v>
      </c>
      <c r="C156" s="23" t="s">
        <v>812</v>
      </c>
      <c r="D156" s="23" t="b">
        <v>1</v>
      </c>
      <c r="E156" s="23" t="s">
        <v>813</v>
      </c>
      <c r="F156" s="23" t="s">
        <v>814</v>
      </c>
      <c r="G156" s="23" t="s">
        <v>92</v>
      </c>
      <c r="H156" s="23" t="s">
        <v>388</v>
      </c>
      <c r="J156" s="23" t="s">
        <v>240</v>
      </c>
      <c r="K156" s="23" t="s">
        <v>815</v>
      </c>
      <c r="Q156" s="23">
        <v>2018</v>
      </c>
      <c r="R156" s="23" t="s">
        <v>242</v>
      </c>
      <c r="T156" s="23" t="s">
        <v>146</v>
      </c>
      <c r="U156" s="23" t="s">
        <v>111</v>
      </c>
      <c r="V156" s="23" t="s">
        <v>112</v>
      </c>
      <c r="W156" s="23" t="s">
        <v>103</v>
      </c>
      <c r="X156" s="23" t="s">
        <v>104</v>
      </c>
      <c r="Y156" s="23" t="b">
        <f t="shared" si="47"/>
        <v>0</v>
      </c>
      <c r="Z156" s="23" t="b">
        <f t="shared" si="48"/>
        <v>0</v>
      </c>
      <c r="AA156" s="23" t="b">
        <f t="shared" si="49"/>
        <v>0</v>
      </c>
      <c r="AB156" s="23" t="b">
        <f t="shared" si="50"/>
        <v>0</v>
      </c>
      <c r="AC156" s="23" t="b">
        <f t="shared" si="51"/>
        <v>0</v>
      </c>
      <c r="AD156" s="23" t="b">
        <f t="shared" si="52"/>
        <v>0</v>
      </c>
      <c r="AE156" s="23" t="b">
        <f t="shared" si="53"/>
        <v>0</v>
      </c>
      <c r="AF156" s="23" t="b">
        <f t="shared" si="54"/>
        <v>0</v>
      </c>
      <c r="AG156" s="23" t="b">
        <f t="shared" si="55"/>
        <v>0</v>
      </c>
      <c r="AH156" s="23" t="b">
        <f t="shared" si="56"/>
        <v>0</v>
      </c>
      <c r="AI156" s="23" t="b">
        <f t="shared" si="57"/>
        <v>0</v>
      </c>
      <c r="AJ156" s="23" t="b">
        <v>1</v>
      </c>
      <c r="AK156" s="23" t="b">
        <f t="shared" si="58"/>
        <v>0</v>
      </c>
      <c r="AL156" s="23" t="b">
        <f t="shared" si="59"/>
        <v>0</v>
      </c>
      <c r="AM156" s="23" t="b">
        <f t="shared" si="60"/>
        <v>0</v>
      </c>
      <c r="AN156" s="23" t="b">
        <f t="shared" si="61"/>
        <v>0</v>
      </c>
      <c r="AO156" s="23" t="b">
        <f t="shared" si="62"/>
        <v>0</v>
      </c>
      <c r="AP156" s="23" t="b">
        <f t="shared" si="63"/>
        <v>0</v>
      </c>
      <c r="AQ156" s="23" t="b">
        <f t="shared" si="64"/>
        <v>0</v>
      </c>
      <c r="AR156" s="23" t="b">
        <f t="shared" si="65"/>
        <v>0</v>
      </c>
      <c r="AS156" s="23" t="b">
        <v>1</v>
      </c>
      <c r="AT156" s="23" t="b">
        <f t="shared" si="66"/>
        <v>0</v>
      </c>
      <c r="AU156" s="23" t="b">
        <f t="shared" si="67"/>
        <v>0</v>
      </c>
      <c r="AV156" s="23" t="b">
        <f t="shared" si="68"/>
        <v>0</v>
      </c>
      <c r="AW156" s="23" t="b">
        <f t="shared" si="69"/>
        <v>0</v>
      </c>
      <c r="AX156" s="23" t="s">
        <v>242</v>
      </c>
      <c r="AY156" s="23" t="b">
        <v>1</v>
      </c>
      <c r="AZ156" s="23" t="s">
        <v>105</v>
      </c>
    </row>
    <row r="157" spans="1:52" x14ac:dyDescent="0.2">
      <c r="A157" s="23">
        <v>204</v>
      </c>
      <c r="B157" s="23" t="s">
        <v>775</v>
      </c>
      <c r="C157" s="23" t="s">
        <v>816</v>
      </c>
      <c r="D157" s="23" t="b">
        <v>1</v>
      </c>
      <c r="E157" s="23" t="s">
        <v>817</v>
      </c>
      <c r="F157" s="23" t="s">
        <v>818</v>
      </c>
      <c r="G157" s="23" t="s">
        <v>92</v>
      </c>
      <c r="H157" s="23" t="s">
        <v>388</v>
      </c>
      <c r="J157" s="23" t="s">
        <v>240</v>
      </c>
      <c r="K157" s="23" t="s">
        <v>819</v>
      </c>
      <c r="Q157" s="23">
        <v>2018</v>
      </c>
      <c r="R157" s="23" t="s">
        <v>242</v>
      </c>
      <c r="T157" s="23" t="s">
        <v>146</v>
      </c>
      <c r="U157" s="23" t="s">
        <v>111</v>
      </c>
      <c r="V157" s="23" t="s">
        <v>112</v>
      </c>
      <c r="W157" s="23" t="s">
        <v>103</v>
      </c>
      <c r="X157" s="23" t="s">
        <v>104</v>
      </c>
      <c r="Y157" s="23" t="b">
        <f t="shared" si="47"/>
        <v>0</v>
      </c>
      <c r="Z157" s="23" t="b">
        <f t="shared" si="48"/>
        <v>0</v>
      </c>
      <c r="AA157" s="23" t="b">
        <f t="shared" si="49"/>
        <v>0</v>
      </c>
      <c r="AB157" s="23" t="b">
        <f t="shared" si="50"/>
        <v>0</v>
      </c>
      <c r="AC157" s="23" t="b">
        <f t="shared" si="51"/>
        <v>0</v>
      </c>
      <c r="AD157" s="23" t="b">
        <f t="shared" si="52"/>
        <v>0</v>
      </c>
      <c r="AE157" s="23" t="b">
        <f t="shared" si="53"/>
        <v>0</v>
      </c>
      <c r="AF157" s="23" t="b">
        <f t="shared" si="54"/>
        <v>0</v>
      </c>
      <c r="AG157" s="23" t="b">
        <f t="shared" si="55"/>
        <v>0</v>
      </c>
      <c r="AH157" s="23" t="b">
        <f t="shared" si="56"/>
        <v>0</v>
      </c>
      <c r="AI157" s="23" t="b">
        <f t="shared" si="57"/>
        <v>0</v>
      </c>
      <c r="AJ157" s="23" t="b">
        <v>1</v>
      </c>
      <c r="AK157" s="23" t="b">
        <f t="shared" si="58"/>
        <v>0</v>
      </c>
      <c r="AL157" s="23" t="b">
        <f t="shared" si="59"/>
        <v>0</v>
      </c>
      <c r="AM157" s="23" t="b">
        <f t="shared" si="60"/>
        <v>0</v>
      </c>
      <c r="AN157" s="23" t="b">
        <f t="shared" si="61"/>
        <v>0</v>
      </c>
      <c r="AO157" s="23" t="b">
        <f t="shared" si="62"/>
        <v>0</v>
      </c>
      <c r="AP157" s="23" t="b">
        <f t="shared" si="63"/>
        <v>0</v>
      </c>
      <c r="AQ157" s="23" t="b">
        <f t="shared" si="64"/>
        <v>0</v>
      </c>
      <c r="AR157" s="23" t="b">
        <f t="shared" si="65"/>
        <v>0</v>
      </c>
      <c r="AS157" s="23" t="b">
        <v>1</v>
      </c>
      <c r="AT157" s="23" t="b">
        <f t="shared" si="66"/>
        <v>0</v>
      </c>
      <c r="AU157" s="23" t="b">
        <f t="shared" si="67"/>
        <v>0</v>
      </c>
      <c r="AV157" s="23" t="b">
        <f t="shared" si="68"/>
        <v>0</v>
      </c>
      <c r="AW157" s="23" t="b">
        <f t="shared" si="69"/>
        <v>0</v>
      </c>
      <c r="AX157" s="23" t="s">
        <v>242</v>
      </c>
      <c r="AY157" s="23" t="b">
        <v>1</v>
      </c>
      <c r="AZ157" s="23" t="s">
        <v>105</v>
      </c>
    </row>
    <row r="158" spans="1:52" x14ac:dyDescent="0.2">
      <c r="A158" s="23">
        <v>205</v>
      </c>
      <c r="B158" s="23" t="s">
        <v>775</v>
      </c>
      <c r="C158" s="23" t="s">
        <v>820</v>
      </c>
      <c r="D158" s="23" t="b">
        <v>1</v>
      </c>
      <c r="E158" s="23" t="s">
        <v>821</v>
      </c>
      <c r="F158" s="23" t="s">
        <v>822</v>
      </c>
      <c r="G158" s="23" t="s">
        <v>92</v>
      </c>
      <c r="H158" s="23" t="s">
        <v>93</v>
      </c>
      <c r="I158" s="23" t="s">
        <v>823</v>
      </c>
      <c r="J158" s="23" t="s">
        <v>95</v>
      </c>
      <c r="K158" s="23" t="s">
        <v>96</v>
      </c>
      <c r="Q158" s="23">
        <v>2001</v>
      </c>
      <c r="R158" s="23" t="s">
        <v>119</v>
      </c>
      <c r="T158" s="23" t="s">
        <v>207</v>
      </c>
      <c r="U158" s="23" t="s">
        <v>111</v>
      </c>
      <c r="V158" s="23" t="s">
        <v>112</v>
      </c>
      <c r="W158" s="23" t="s">
        <v>103</v>
      </c>
      <c r="X158" s="23" t="s">
        <v>104</v>
      </c>
      <c r="Y158" s="23" t="b">
        <f t="shared" si="47"/>
        <v>0</v>
      </c>
      <c r="Z158" s="23" t="b">
        <f t="shared" si="48"/>
        <v>0</v>
      </c>
      <c r="AA158" s="23" t="b">
        <f t="shared" si="49"/>
        <v>0</v>
      </c>
      <c r="AB158" s="23" t="b">
        <f t="shared" si="50"/>
        <v>0</v>
      </c>
      <c r="AC158" s="23" t="b">
        <f t="shared" si="51"/>
        <v>0</v>
      </c>
      <c r="AD158" s="23" t="b">
        <f t="shared" si="52"/>
        <v>0</v>
      </c>
      <c r="AE158" s="23" t="b">
        <f t="shared" si="53"/>
        <v>0</v>
      </c>
      <c r="AF158" s="23" t="b">
        <f t="shared" si="54"/>
        <v>0</v>
      </c>
      <c r="AG158" s="23" t="b">
        <f t="shared" si="55"/>
        <v>0</v>
      </c>
      <c r="AH158" s="23" t="b">
        <f t="shared" si="56"/>
        <v>0</v>
      </c>
      <c r="AI158" s="23" t="b">
        <f t="shared" si="57"/>
        <v>0</v>
      </c>
      <c r="AJ158" s="23" t="b">
        <v>1</v>
      </c>
      <c r="AK158" s="23" t="b">
        <f t="shared" si="58"/>
        <v>0</v>
      </c>
      <c r="AL158" s="23" t="b">
        <f t="shared" si="59"/>
        <v>0</v>
      </c>
      <c r="AM158" s="23" t="b">
        <f t="shared" si="60"/>
        <v>0</v>
      </c>
      <c r="AN158" s="23" t="b">
        <f t="shared" si="61"/>
        <v>0</v>
      </c>
      <c r="AO158" s="23" t="b">
        <f t="shared" si="62"/>
        <v>0</v>
      </c>
      <c r="AP158" s="23" t="b">
        <f t="shared" si="63"/>
        <v>0</v>
      </c>
      <c r="AQ158" s="23" t="b">
        <f t="shared" si="64"/>
        <v>0</v>
      </c>
      <c r="AR158" s="23" t="b">
        <f t="shared" si="65"/>
        <v>0</v>
      </c>
      <c r="AS158" s="23" t="b">
        <v>1</v>
      </c>
      <c r="AT158" s="23" t="b">
        <f t="shared" si="66"/>
        <v>0</v>
      </c>
      <c r="AU158" s="23" t="b">
        <f t="shared" si="67"/>
        <v>0</v>
      </c>
      <c r="AV158" s="23" t="b">
        <f t="shared" si="68"/>
        <v>0</v>
      </c>
      <c r="AW158" s="23" t="b">
        <f t="shared" si="69"/>
        <v>0</v>
      </c>
      <c r="AX158" s="23" t="s">
        <v>99</v>
      </c>
      <c r="AY158" s="23" t="b">
        <v>0</v>
      </c>
      <c r="AZ158" s="23" t="s">
        <v>105</v>
      </c>
    </row>
    <row r="159" spans="1:52" x14ac:dyDescent="0.2">
      <c r="A159" s="23">
        <v>206</v>
      </c>
      <c r="B159" s="23" t="s">
        <v>775</v>
      </c>
      <c r="C159" s="23" t="s">
        <v>824</v>
      </c>
      <c r="D159" s="23" t="b">
        <v>1</v>
      </c>
      <c r="E159" s="23" t="s">
        <v>825</v>
      </c>
      <c r="F159" s="23" t="s">
        <v>826</v>
      </c>
      <c r="G159" s="23" t="s">
        <v>92</v>
      </c>
      <c r="H159" s="23" t="s">
        <v>93</v>
      </c>
      <c r="I159" s="23" t="s">
        <v>827</v>
      </c>
      <c r="J159" s="23" t="s">
        <v>95</v>
      </c>
      <c r="K159" s="23" t="s">
        <v>96</v>
      </c>
      <c r="Q159" s="23">
        <v>2001</v>
      </c>
      <c r="R159" s="23" t="s">
        <v>119</v>
      </c>
      <c r="T159" s="23" t="s">
        <v>207</v>
      </c>
      <c r="U159" s="23" t="s">
        <v>111</v>
      </c>
      <c r="V159" s="23" t="s">
        <v>112</v>
      </c>
      <c r="W159" s="23" t="s">
        <v>103</v>
      </c>
      <c r="X159" s="23" t="s">
        <v>104</v>
      </c>
      <c r="Y159" s="23" t="b">
        <f t="shared" si="47"/>
        <v>0</v>
      </c>
      <c r="Z159" s="23" t="b">
        <f t="shared" si="48"/>
        <v>0</v>
      </c>
      <c r="AA159" s="23" t="b">
        <f t="shared" si="49"/>
        <v>0</v>
      </c>
      <c r="AB159" s="23" t="b">
        <f t="shared" si="50"/>
        <v>0</v>
      </c>
      <c r="AC159" s="23" t="b">
        <f t="shared" si="51"/>
        <v>0</v>
      </c>
      <c r="AD159" s="23" t="b">
        <f t="shared" si="52"/>
        <v>0</v>
      </c>
      <c r="AE159" s="23" t="b">
        <f t="shared" si="53"/>
        <v>0</v>
      </c>
      <c r="AF159" s="23" t="b">
        <f t="shared" si="54"/>
        <v>0</v>
      </c>
      <c r="AG159" s="23" t="b">
        <f t="shared" si="55"/>
        <v>0</v>
      </c>
      <c r="AH159" s="23" t="b">
        <f t="shared" si="56"/>
        <v>0</v>
      </c>
      <c r="AI159" s="23" t="b">
        <f t="shared" si="57"/>
        <v>0</v>
      </c>
      <c r="AJ159" s="23" t="b">
        <v>1</v>
      </c>
      <c r="AK159" s="23" t="b">
        <f t="shared" si="58"/>
        <v>0</v>
      </c>
      <c r="AL159" s="23" t="b">
        <f t="shared" si="59"/>
        <v>0</v>
      </c>
      <c r="AM159" s="23" t="b">
        <f t="shared" si="60"/>
        <v>0</v>
      </c>
      <c r="AN159" s="23" t="b">
        <f t="shared" si="61"/>
        <v>0</v>
      </c>
      <c r="AO159" s="23" t="b">
        <f t="shared" si="62"/>
        <v>0</v>
      </c>
      <c r="AP159" s="23" t="b">
        <f t="shared" si="63"/>
        <v>0</v>
      </c>
      <c r="AQ159" s="23" t="b">
        <f t="shared" si="64"/>
        <v>0</v>
      </c>
      <c r="AR159" s="23" t="b">
        <f t="shared" si="65"/>
        <v>0</v>
      </c>
      <c r="AS159" s="23" t="b">
        <v>1</v>
      </c>
      <c r="AT159" s="23" t="b">
        <f t="shared" si="66"/>
        <v>0</v>
      </c>
      <c r="AU159" s="23" t="b">
        <f t="shared" si="67"/>
        <v>0</v>
      </c>
      <c r="AV159" s="23" t="b">
        <f t="shared" si="68"/>
        <v>0</v>
      </c>
      <c r="AW159" s="23" t="b">
        <f t="shared" si="69"/>
        <v>0</v>
      </c>
      <c r="AX159" s="23" t="s">
        <v>99</v>
      </c>
      <c r="AY159" s="23" t="b">
        <v>0</v>
      </c>
      <c r="AZ159" s="23" t="s">
        <v>105</v>
      </c>
    </row>
    <row r="160" spans="1:52" x14ac:dyDescent="0.2">
      <c r="A160" s="23">
        <v>207</v>
      </c>
      <c r="B160" s="23" t="s">
        <v>775</v>
      </c>
      <c r="C160" s="23" t="s">
        <v>828</v>
      </c>
      <c r="D160" s="23" t="b">
        <v>1</v>
      </c>
      <c r="E160" s="23" t="s">
        <v>829</v>
      </c>
      <c r="F160" s="23" t="s">
        <v>830</v>
      </c>
      <c r="G160" s="23" t="s">
        <v>92</v>
      </c>
      <c r="H160" s="23" t="s">
        <v>93</v>
      </c>
      <c r="I160" s="23" t="s">
        <v>831</v>
      </c>
      <c r="J160" s="23" t="s">
        <v>95</v>
      </c>
      <c r="K160" s="23" t="s">
        <v>96</v>
      </c>
      <c r="Q160" s="23">
        <v>2001</v>
      </c>
      <c r="R160" s="23" t="s">
        <v>119</v>
      </c>
      <c r="T160" s="23" t="s">
        <v>207</v>
      </c>
      <c r="U160" s="23" t="s">
        <v>111</v>
      </c>
      <c r="V160" s="23" t="s">
        <v>112</v>
      </c>
      <c r="W160" s="23" t="s">
        <v>103</v>
      </c>
      <c r="X160" s="23" t="s">
        <v>104</v>
      </c>
      <c r="Y160" s="23" t="b">
        <f t="shared" si="47"/>
        <v>0</v>
      </c>
      <c r="Z160" s="23" t="b">
        <f t="shared" si="48"/>
        <v>0</v>
      </c>
      <c r="AA160" s="23" t="b">
        <f t="shared" si="49"/>
        <v>0</v>
      </c>
      <c r="AB160" s="23" t="b">
        <f t="shared" si="50"/>
        <v>0</v>
      </c>
      <c r="AC160" s="23" t="b">
        <f t="shared" si="51"/>
        <v>0</v>
      </c>
      <c r="AD160" s="23" t="b">
        <f t="shared" si="52"/>
        <v>0</v>
      </c>
      <c r="AE160" s="23" t="b">
        <f t="shared" si="53"/>
        <v>0</v>
      </c>
      <c r="AF160" s="23" t="b">
        <f t="shared" si="54"/>
        <v>0</v>
      </c>
      <c r="AG160" s="23" t="b">
        <f t="shared" si="55"/>
        <v>0</v>
      </c>
      <c r="AH160" s="23" t="b">
        <f t="shared" si="56"/>
        <v>0</v>
      </c>
      <c r="AI160" s="23" t="b">
        <f t="shared" si="57"/>
        <v>0</v>
      </c>
      <c r="AJ160" s="23" t="b">
        <v>1</v>
      </c>
      <c r="AK160" s="23" t="b">
        <f t="shared" si="58"/>
        <v>0</v>
      </c>
      <c r="AL160" s="23" t="b">
        <f t="shared" si="59"/>
        <v>0</v>
      </c>
      <c r="AM160" s="23" t="b">
        <f t="shared" si="60"/>
        <v>0</v>
      </c>
      <c r="AN160" s="23" t="b">
        <f t="shared" si="61"/>
        <v>0</v>
      </c>
      <c r="AO160" s="23" t="b">
        <f t="shared" si="62"/>
        <v>0</v>
      </c>
      <c r="AP160" s="23" t="b">
        <f t="shared" si="63"/>
        <v>0</v>
      </c>
      <c r="AQ160" s="23" t="b">
        <f t="shared" si="64"/>
        <v>0</v>
      </c>
      <c r="AR160" s="23" t="b">
        <f t="shared" si="65"/>
        <v>0</v>
      </c>
      <c r="AS160" s="23" t="b">
        <v>1</v>
      </c>
      <c r="AT160" s="23" t="b">
        <f t="shared" si="66"/>
        <v>0</v>
      </c>
      <c r="AU160" s="23" t="b">
        <f t="shared" si="67"/>
        <v>0</v>
      </c>
      <c r="AV160" s="23" t="b">
        <f t="shared" si="68"/>
        <v>0</v>
      </c>
      <c r="AW160" s="23" t="b">
        <f t="shared" si="69"/>
        <v>0</v>
      </c>
      <c r="AX160" s="23" t="s">
        <v>99</v>
      </c>
      <c r="AY160" s="23" t="b">
        <v>0</v>
      </c>
      <c r="AZ160" s="23" t="s">
        <v>105</v>
      </c>
    </row>
    <row r="161" spans="1:52" x14ac:dyDescent="0.2">
      <c r="A161" s="23">
        <v>208</v>
      </c>
      <c r="B161" s="23" t="s">
        <v>775</v>
      </c>
      <c r="C161" s="23" t="s">
        <v>832</v>
      </c>
      <c r="D161" s="23" t="b">
        <v>1</v>
      </c>
      <c r="E161" s="23" t="s">
        <v>833</v>
      </c>
      <c r="F161" s="23" t="s">
        <v>834</v>
      </c>
      <c r="G161" s="23" t="s">
        <v>92</v>
      </c>
      <c r="H161" s="23" t="s">
        <v>93</v>
      </c>
      <c r="I161" s="23" t="s">
        <v>835</v>
      </c>
      <c r="J161" s="23" t="s">
        <v>95</v>
      </c>
      <c r="K161" s="23" t="s">
        <v>96</v>
      </c>
      <c r="Q161" s="23">
        <v>2001</v>
      </c>
      <c r="R161" s="23" t="s">
        <v>119</v>
      </c>
      <c r="T161" s="23" t="s">
        <v>207</v>
      </c>
      <c r="U161" s="23" t="s">
        <v>111</v>
      </c>
      <c r="V161" s="23" t="s">
        <v>112</v>
      </c>
      <c r="W161" s="23" t="s">
        <v>103</v>
      </c>
      <c r="X161" s="23" t="s">
        <v>104</v>
      </c>
      <c r="Y161" s="23" t="b">
        <f t="shared" si="47"/>
        <v>0</v>
      </c>
      <c r="Z161" s="23" t="b">
        <f t="shared" si="48"/>
        <v>0</v>
      </c>
      <c r="AA161" s="23" t="b">
        <f t="shared" si="49"/>
        <v>0</v>
      </c>
      <c r="AB161" s="23" t="b">
        <f t="shared" si="50"/>
        <v>0</v>
      </c>
      <c r="AC161" s="23" t="b">
        <f t="shared" si="51"/>
        <v>0</v>
      </c>
      <c r="AD161" s="23" t="b">
        <f t="shared" si="52"/>
        <v>0</v>
      </c>
      <c r="AE161" s="23" t="b">
        <f t="shared" si="53"/>
        <v>0</v>
      </c>
      <c r="AF161" s="23" t="b">
        <f t="shared" si="54"/>
        <v>0</v>
      </c>
      <c r="AG161" s="23" t="b">
        <f t="shared" si="55"/>
        <v>0</v>
      </c>
      <c r="AH161" s="23" t="b">
        <f t="shared" si="56"/>
        <v>0</v>
      </c>
      <c r="AI161" s="23" t="b">
        <f t="shared" si="57"/>
        <v>0</v>
      </c>
      <c r="AJ161" s="23" t="b">
        <v>1</v>
      </c>
      <c r="AK161" s="23" t="b">
        <f t="shared" si="58"/>
        <v>0</v>
      </c>
      <c r="AL161" s="23" t="b">
        <f t="shared" si="59"/>
        <v>0</v>
      </c>
      <c r="AM161" s="23" t="b">
        <f t="shared" si="60"/>
        <v>0</v>
      </c>
      <c r="AN161" s="23" t="b">
        <f t="shared" si="61"/>
        <v>0</v>
      </c>
      <c r="AO161" s="23" t="b">
        <f t="shared" si="62"/>
        <v>0</v>
      </c>
      <c r="AP161" s="23" t="b">
        <f t="shared" si="63"/>
        <v>0</v>
      </c>
      <c r="AQ161" s="23" t="b">
        <f t="shared" si="64"/>
        <v>0</v>
      </c>
      <c r="AR161" s="23" t="b">
        <f t="shared" si="65"/>
        <v>0</v>
      </c>
      <c r="AS161" s="23" t="b">
        <v>1</v>
      </c>
      <c r="AT161" s="23" t="b">
        <f t="shared" si="66"/>
        <v>0</v>
      </c>
      <c r="AU161" s="23" t="b">
        <f t="shared" si="67"/>
        <v>0</v>
      </c>
      <c r="AV161" s="23" t="b">
        <f t="shared" si="68"/>
        <v>0</v>
      </c>
      <c r="AW161" s="23" t="b">
        <f t="shared" si="69"/>
        <v>0</v>
      </c>
      <c r="AX161" s="23" t="s">
        <v>99</v>
      </c>
      <c r="AY161" s="23" t="b">
        <v>0</v>
      </c>
      <c r="AZ161" s="23" t="s">
        <v>105</v>
      </c>
    </row>
    <row r="162" spans="1:52" x14ac:dyDescent="0.2">
      <c r="A162" s="23">
        <v>209</v>
      </c>
      <c r="B162" s="23" t="s">
        <v>775</v>
      </c>
      <c r="C162" s="23" t="s">
        <v>836</v>
      </c>
      <c r="D162" s="23" t="b">
        <v>1</v>
      </c>
      <c r="E162" s="23" t="s">
        <v>837</v>
      </c>
      <c r="F162" s="23" t="s">
        <v>838</v>
      </c>
      <c r="G162" s="23" t="s">
        <v>92</v>
      </c>
      <c r="H162" s="23" t="s">
        <v>93</v>
      </c>
      <c r="I162" s="23" t="s">
        <v>839</v>
      </c>
      <c r="J162" s="23" t="s">
        <v>95</v>
      </c>
      <c r="K162" s="23" t="s">
        <v>96</v>
      </c>
      <c r="Q162" s="23">
        <v>2001</v>
      </c>
      <c r="R162" s="23" t="s">
        <v>119</v>
      </c>
      <c r="T162" s="23" t="s">
        <v>207</v>
      </c>
      <c r="U162" s="23" t="s">
        <v>111</v>
      </c>
      <c r="V162" s="23" t="s">
        <v>112</v>
      </c>
      <c r="W162" s="23" t="s">
        <v>103</v>
      </c>
      <c r="X162" s="23" t="s">
        <v>104</v>
      </c>
      <c r="Y162" s="23" t="b">
        <f t="shared" si="47"/>
        <v>0</v>
      </c>
      <c r="Z162" s="23" t="b">
        <f t="shared" si="48"/>
        <v>0</v>
      </c>
      <c r="AA162" s="23" t="b">
        <f t="shared" si="49"/>
        <v>0</v>
      </c>
      <c r="AB162" s="23" t="b">
        <f t="shared" si="50"/>
        <v>0</v>
      </c>
      <c r="AC162" s="23" t="b">
        <f t="shared" si="51"/>
        <v>0</v>
      </c>
      <c r="AD162" s="23" t="b">
        <f t="shared" si="52"/>
        <v>0</v>
      </c>
      <c r="AE162" s="23" t="b">
        <f t="shared" si="53"/>
        <v>0</v>
      </c>
      <c r="AF162" s="23" t="b">
        <f t="shared" si="54"/>
        <v>0</v>
      </c>
      <c r="AG162" s="23" t="b">
        <f t="shared" si="55"/>
        <v>0</v>
      </c>
      <c r="AH162" s="23" t="b">
        <f t="shared" si="56"/>
        <v>0</v>
      </c>
      <c r="AI162" s="23" t="b">
        <f t="shared" si="57"/>
        <v>0</v>
      </c>
      <c r="AJ162" s="23" t="b">
        <v>1</v>
      </c>
      <c r="AK162" s="23" t="b">
        <f t="shared" si="58"/>
        <v>0</v>
      </c>
      <c r="AL162" s="23" t="b">
        <f t="shared" si="59"/>
        <v>0</v>
      </c>
      <c r="AM162" s="23" t="b">
        <f t="shared" si="60"/>
        <v>0</v>
      </c>
      <c r="AN162" s="23" t="b">
        <f t="shared" si="61"/>
        <v>0</v>
      </c>
      <c r="AO162" s="23" t="b">
        <f t="shared" si="62"/>
        <v>0</v>
      </c>
      <c r="AP162" s="23" t="b">
        <f t="shared" si="63"/>
        <v>0</v>
      </c>
      <c r="AQ162" s="23" t="b">
        <f t="shared" si="64"/>
        <v>0</v>
      </c>
      <c r="AR162" s="23" t="b">
        <f t="shared" si="65"/>
        <v>0</v>
      </c>
      <c r="AS162" s="23" t="b">
        <v>1</v>
      </c>
      <c r="AT162" s="23" t="b">
        <f t="shared" si="66"/>
        <v>0</v>
      </c>
      <c r="AU162" s="23" t="b">
        <f t="shared" si="67"/>
        <v>0</v>
      </c>
      <c r="AV162" s="23" t="b">
        <f t="shared" si="68"/>
        <v>0</v>
      </c>
      <c r="AW162" s="23" t="b">
        <f t="shared" si="69"/>
        <v>0</v>
      </c>
      <c r="AX162" s="23" t="s">
        <v>99</v>
      </c>
      <c r="AY162" s="23" t="b">
        <v>0</v>
      </c>
      <c r="AZ162" s="23" t="s">
        <v>105</v>
      </c>
    </row>
    <row r="163" spans="1:52" x14ac:dyDescent="0.2">
      <c r="A163" s="23">
        <v>210</v>
      </c>
      <c r="B163" s="23" t="s">
        <v>775</v>
      </c>
      <c r="C163" s="23" t="s">
        <v>840</v>
      </c>
      <c r="D163" s="23" t="b">
        <v>1</v>
      </c>
      <c r="E163" s="23" t="s">
        <v>841</v>
      </c>
      <c r="F163" s="23" t="s">
        <v>842</v>
      </c>
      <c r="G163" s="23" t="s">
        <v>92</v>
      </c>
      <c r="H163" s="23" t="s">
        <v>93</v>
      </c>
      <c r="I163" s="23" t="s">
        <v>843</v>
      </c>
      <c r="J163" s="23" t="s">
        <v>95</v>
      </c>
      <c r="K163" s="23" t="s">
        <v>96</v>
      </c>
      <c r="Q163" s="23">
        <v>2001</v>
      </c>
      <c r="R163" s="23" t="s">
        <v>119</v>
      </c>
      <c r="T163" s="23" t="s">
        <v>207</v>
      </c>
      <c r="U163" s="23" t="s">
        <v>111</v>
      </c>
      <c r="V163" s="23" t="s">
        <v>112</v>
      </c>
      <c r="W163" s="23" t="s">
        <v>103</v>
      </c>
      <c r="X163" s="23" t="s">
        <v>104</v>
      </c>
      <c r="Y163" s="23" t="b">
        <f t="shared" si="47"/>
        <v>0</v>
      </c>
      <c r="Z163" s="23" t="b">
        <f t="shared" si="48"/>
        <v>0</v>
      </c>
      <c r="AA163" s="23" t="b">
        <f t="shared" si="49"/>
        <v>0</v>
      </c>
      <c r="AB163" s="23" t="b">
        <f t="shared" si="50"/>
        <v>0</v>
      </c>
      <c r="AC163" s="23" t="b">
        <f t="shared" si="51"/>
        <v>0</v>
      </c>
      <c r="AD163" s="23" t="b">
        <f t="shared" si="52"/>
        <v>0</v>
      </c>
      <c r="AE163" s="23" t="b">
        <f t="shared" si="53"/>
        <v>0</v>
      </c>
      <c r="AF163" s="23" t="b">
        <f t="shared" si="54"/>
        <v>0</v>
      </c>
      <c r="AG163" s="23" t="b">
        <f t="shared" si="55"/>
        <v>0</v>
      </c>
      <c r="AH163" s="23" t="b">
        <f t="shared" si="56"/>
        <v>0</v>
      </c>
      <c r="AI163" s="23" t="b">
        <f t="shared" si="57"/>
        <v>0</v>
      </c>
      <c r="AJ163" s="23" t="b">
        <v>1</v>
      </c>
      <c r="AK163" s="23" t="b">
        <f t="shared" si="58"/>
        <v>0</v>
      </c>
      <c r="AL163" s="23" t="b">
        <f t="shared" si="59"/>
        <v>0</v>
      </c>
      <c r="AM163" s="23" t="b">
        <f t="shared" si="60"/>
        <v>0</v>
      </c>
      <c r="AN163" s="23" t="b">
        <f t="shared" si="61"/>
        <v>0</v>
      </c>
      <c r="AO163" s="23" t="b">
        <f t="shared" si="62"/>
        <v>0</v>
      </c>
      <c r="AP163" s="23" t="b">
        <f t="shared" si="63"/>
        <v>0</v>
      </c>
      <c r="AQ163" s="23" t="b">
        <f t="shared" si="64"/>
        <v>0</v>
      </c>
      <c r="AR163" s="23" t="b">
        <f t="shared" si="65"/>
        <v>0</v>
      </c>
      <c r="AS163" s="23" t="b">
        <v>1</v>
      </c>
      <c r="AT163" s="23" t="b">
        <f t="shared" si="66"/>
        <v>0</v>
      </c>
      <c r="AU163" s="23" t="b">
        <f t="shared" si="67"/>
        <v>0</v>
      </c>
      <c r="AV163" s="23" t="b">
        <f t="shared" si="68"/>
        <v>0</v>
      </c>
      <c r="AW163" s="23" t="b">
        <f t="shared" si="69"/>
        <v>0</v>
      </c>
      <c r="AX163" s="23" t="s">
        <v>99</v>
      </c>
      <c r="AY163" s="23" t="b">
        <v>0</v>
      </c>
      <c r="AZ163" s="23" t="s">
        <v>105</v>
      </c>
    </row>
    <row r="164" spans="1:52" x14ac:dyDescent="0.2">
      <c r="A164" s="23">
        <v>211</v>
      </c>
      <c r="B164" s="23" t="s">
        <v>775</v>
      </c>
      <c r="C164" s="23" t="s">
        <v>844</v>
      </c>
      <c r="D164" s="23" t="b">
        <v>1</v>
      </c>
      <c r="E164" s="23" t="s">
        <v>845</v>
      </c>
      <c r="F164" s="23" t="s">
        <v>846</v>
      </c>
      <c r="G164" s="23" t="s">
        <v>92</v>
      </c>
      <c r="H164" s="23" t="s">
        <v>93</v>
      </c>
      <c r="I164" s="23" t="s">
        <v>847</v>
      </c>
      <c r="J164" s="23" t="s">
        <v>95</v>
      </c>
      <c r="K164" s="23" t="s">
        <v>96</v>
      </c>
      <c r="Q164" s="23">
        <v>2001</v>
      </c>
      <c r="R164" s="23" t="s">
        <v>119</v>
      </c>
      <c r="T164" s="23" t="s">
        <v>207</v>
      </c>
      <c r="U164" s="23" t="s">
        <v>111</v>
      </c>
      <c r="V164" s="23" t="s">
        <v>112</v>
      </c>
      <c r="W164" s="23" t="s">
        <v>103</v>
      </c>
      <c r="X164" s="23" t="s">
        <v>104</v>
      </c>
      <c r="Y164" s="23" t="b">
        <f t="shared" si="47"/>
        <v>0</v>
      </c>
      <c r="Z164" s="23" t="b">
        <f t="shared" si="48"/>
        <v>0</v>
      </c>
      <c r="AA164" s="23" t="b">
        <f t="shared" si="49"/>
        <v>0</v>
      </c>
      <c r="AB164" s="23" t="b">
        <f t="shared" si="50"/>
        <v>0</v>
      </c>
      <c r="AC164" s="23" t="b">
        <f t="shared" si="51"/>
        <v>0</v>
      </c>
      <c r="AD164" s="23" t="b">
        <f t="shared" si="52"/>
        <v>0</v>
      </c>
      <c r="AE164" s="23" t="b">
        <f t="shared" si="53"/>
        <v>0</v>
      </c>
      <c r="AF164" s="23" t="b">
        <f t="shared" si="54"/>
        <v>0</v>
      </c>
      <c r="AG164" s="23" t="b">
        <f t="shared" si="55"/>
        <v>0</v>
      </c>
      <c r="AH164" s="23" t="b">
        <f t="shared" si="56"/>
        <v>0</v>
      </c>
      <c r="AI164" s="23" t="b">
        <f t="shared" si="57"/>
        <v>0</v>
      </c>
      <c r="AJ164" s="23" t="b">
        <v>1</v>
      </c>
      <c r="AK164" s="23" t="b">
        <f t="shared" si="58"/>
        <v>0</v>
      </c>
      <c r="AL164" s="23" t="b">
        <f t="shared" si="59"/>
        <v>0</v>
      </c>
      <c r="AM164" s="23" t="b">
        <f t="shared" si="60"/>
        <v>0</v>
      </c>
      <c r="AN164" s="23" t="b">
        <f t="shared" si="61"/>
        <v>0</v>
      </c>
      <c r="AO164" s="23" t="b">
        <f t="shared" si="62"/>
        <v>0</v>
      </c>
      <c r="AP164" s="23" t="b">
        <f t="shared" si="63"/>
        <v>0</v>
      </c>
      <c r="AQ164" s="23" t="b">
        <f t="shared" si="64"/>
        <v>0</v>
      </c>
      <c r="AR164" s="23" t="b">
        <f t="shared" si="65"/>
        <v>0</v>
      </c>
      <c r="AS164" s="23" t="b">
        <v>1</v>
      </c>
      <c r="AT164" s="23" t="b">
        <f t="shared" si="66"/>
        <v>0</v>
      </c>
      <c r="AU164" s="23" t="b">
        <f t="shared" si="67"/>
        <v>0</v>
      </c>
      <c r="AV164" s="23" t="b">
        <f t="shared" si="68"/>
        <v>0</v>
      </c>
      <c r="AW164" s="23" t="b">
        <f t="shared" si="69"/>
        <v>0</v>
      </c>
      <c r="AX164" s="23" t="s">
        <v>99</v>
      </c>
      <c r="AY164" s="23" t="b">
        <v>0</v>
      </c>
      <c r="AZ164" s="23" t="s">
        <v>105</v>
      </c>
    </row>
    <row r="165" spans="1:52" x14ac:dyDescent="0.2">
      <c r="A165" s="23">
        <v>212</v>
      </c>
      <c r="B165" s="23" t="s">
        <v>775</v>
      </c>
      <c r="C165" s="23" t="s">
        <v>848</v>
      </c>
      <c r="D165" s="23" t="b">
        <v>1</v>
      </c>
      <c r="E165" s="23" t="s">
        <v>849</v>
      </c>
      <c r="F165" s="23" t="s">
        <v>850</v>
      </c>
      <c r="G165" s="23" t="s">
        <v>92</v>
      </c>
      <c r="H165" s="23" t="s">
        <v>93</v>
      </c>
      <c r="I165" s="23" t="s">
        <v>851</v>
      </c>
      <c r="J165" s="23" t="s">
        <v>95</v>
      </c>
      <c r="K165" s="23" t="s">
        <v>96</v>
      </c>
      <c r="Q165" s="23">
        <v>2001</v>
      </c>
      <c r="R165" s="23" t="s">
        <v>119</v>
      </c>
      <c r="T165" s="23" t="s">
        <v>207</v>
      </c>
      <c r="U165" s="23" t="s">
        <v>111</v>
      </c>
      <c r="V165" s="23" t="s">
        <v>112</v>
      </c>
      <c r="W165" s="23" t="s">
        <v>103</v>
      </c>
      <c r="X165" s="23" t="s">
        <v>104</v>
      </c>
      <c r="Y165" s="23" t="b">
        <f t="shared" si="47"/>
        <v>0</v>
      </c>
      <c r="Z165" s="23" t="b">
        <f t="shared" si="48"/>
        <v>0</v>
      </c>
      <c r="AA165" s="23" t="b">
        <f t="shared" si="49"/>
        <v>0</v>
      </c>
      <c r="AB165" s="23" t="b">
        <f t="shared" si="50"/>
        <v>0</v>
      </c>
      <c r="AC165" s="23" t="b">
        <f t="shared" si="51"/>
        <v>0</v>
      </c>
      <c r="AD165" s="23" t="b">
        <f t="shared" si="52"/>
        <v>0</v>
      </c>
      <c r="AE165" s="23" t="b">
        <f t="shared" si="53"/>
        <v>0</v>
      </c>
      <c r="AF165" s="23" t="b">
        <f t="shared" si="54"/>
        <v>0</v>
      </c>
      <c r="AG165" s="23" t="b">
        <f t="shared" si="55"/>
        <v>0</v>
      </c>
      <c r="AH165" s="23" t="b">
        <f t="shared" si="56"/>
        <v>0</v>
      </c>
      <c r="AI165" s="23" t="b">
        <f t="shared" si="57"/>
        <v>0</v>
      </c>
      <c r="AJ165" s="23" t="b">
        <v>1</v>
      </c>
      <c r="AK165" s="23" t="b">
        <f t="shared" si="58"/>
        <v>0</v>
      </c>
      <c r="AL165" s="23" t="b">
        <f t="shared" si="59"/>
        <v>0</v>
      </c>
      <c r="AM165" s="23" t="b">
        <f t="shared" si="60"/>
        <v>0</v>
      </c>
      <c r="AN165" s="23" t="b">
        <f t="shared" si="61"/>
        <v>0</v>
      </c>
      <c r="AO165" s="23" t="b">
        <f t="shared" si="62"/>
        <v>0</v>
      </c>
      <c r="AP165" s="23" t="b">
        <f t="shared" si="63"/>
        <v>0</v>
      </c>
      <c r="AQ165" s="23" t="b">
        <f t="shared" si="64"/>
        <v>0</v>
      </c>
      <c r="AR165" s="23" t="b">
        <f t="shared" si="65"/>
        <v>0</v>
      </c>
      <c r="AS165" s="23" t="b">
        <v>1</v>
      </c>
      <c r="AT165" s="23" t="b">
        <f t="shared" si="66"/>
        <v>0</v>
      </c>
      <c r="AU165" s="23" t="b">
        <f t="shared" si="67"/>
        <v>0</v>
      </c>
      <c r="AV165" s="23" t="b">
        <f t="shared" si="68"/>
        <v>0</v>
      </c>
      <c r="AW165" s="23" t="b">
        <f t="shared" si="69"/>
        <v>0</v>
      </c>
      <c r="AX165" s="23" t="s">
        <v>99</v>
      </c>
      <c r="AY165" s="23" t="b">
        <v>0</v>
      </c>
      <c r="AZ165" s="23" t="s">
        <v>105</v>
      </c>
    </row>
    <row r="166" spans="1:52" x14ac:dyDescent="0.2">
      <c r="A166" s="23">
        <v>213</v>
      </c>
      <c r="B166" s="23" t="s">
        <v>852</v>
      </c>
      <c r="C166" s="23" t="s">
        <v>853</v>
      </c>
      <c r="D166" s="23" t="b">
        <v>1</v>
      </c>
      <c r="E166" s="23" t="s">
        <v>854</v>
      </c>
      <c r="F166" s="23" t="s">
        <v>855</v>
      </c>
      <c r="G166" s="23" t="s">
        <v>92</v>
      </c>
      <c r="H166" s="23" t="s">
        <v>493</v>
      </c>
      <c r="J166" s="23" t="s">
        <v>856</v>
      </c>
      <c r="K166" s="23" t="s">
        <v>857</v>
      </c>
      <c r="L166" s="23" t="s">
        <v>858</v>
      </c>
      <c r="Q166" s="23">
        <v>2022</v>
      </c>
      <c r="R166" s="23" t="s">
        <v>502</v>
      </c>
      <c r="T166" s="23" t="s">
        <v>188</v>
      </c>
      <c r="U166" s="23" t="s">
        <v>189</v>
      </c>
      <c r="V166" s="23" t="s">
        <v>190</v>
      </c>
      <c r="W166" s="23" t="s">
        <v>103</v>
      </c>
      <c r="X166" s="23" t="s">
        <v>104</v>
      </c>
      <c r="Y166" s="23" t="b">
        <f t="shared" si="47"/>
        <v>0</v>
      </c>
      <c r="Z166" s="23" t="b">
        <f t="shared" si="48"/>
        <v>0</v>
      </c>
      <c r="AA166" s="23" t="b">
        <f t="shared" si="49"/>
        <v>0</v>
      </c>
      <c r="AB166" s="23" t="b">
        <f t="shared" si="50"/>
        <v>0</v>
      </c>
      <c r="AC166" s="23" t="b">
        <f t="shared" si="51"/>
        <v>0</v>
      </c>
      <c r="AD166" s="23" t="b">
        <f t="shared" si="52"/>
        <v>0</v>
      </c>
      <c r="AE166" s="23" t="b">
        <f t="shared" si="53"/>
        <v>0</v>
      </c>
      <c r="AF166" s="23" t="b">
        <f t="shared" si="54"/>
        <v>0</v>
      </c>
      <c r="AG166" s="23" t="b">
        <f t="shared" si="55"/>
        <v>0</v>
      </c>
      <c r="AH166" s="23" t="b">
        <f t="shared" si="56"/>
        <v>0</v>
      </c>
      <c r="AI166" s="23" t="b">
        <f t="shared" si="57"/>
        <v>0</v>
      </c>
      <c r="AJ166" s="23" t="b">
        <v>0</v>
      </c>
      <c r="AK166" s="23" t="b">
        <f t="shared" si="58"/>
        <v>0</v>
      </c>
      <c r="AL166" s="23" t="b">
        <f t="shared" si="59"/>
        <v>0</v>
      </c>
      <c r="AM166" s="23" t="b">
        <f t="shared" si="60"/>
        <v>0</v>
      </c>
      <c r="AN166" s="23" t="b">
        <f t="shared" si="61"/>
        <v>0</v>
      </c>
      <c r="AO166" s="23" t="b">
        <f t="shared" si="62"/>
        <v>0</v>
      </c>
      <c r="AP166" s="23" t="b">
        <f t="shared" si="63"/>
        <v>1</v>
      </c>
      <c r="AQ166" s="23" t="b">
        <f t="shared" si="64"/>
        <v>0</v>
      </c>
      <c r="AR166" s="23" t="b">
        <f t="shared" si="65"/>
        <v>1</v>
      </c>
      <c r="AS166" s="23" t="b">
        <v>0</v>
      </c>
      <c r="AT166" s="23" t="b">
        <f t="shared" si="66"/>
        <v>1</v>
      </c>
      <c r="AU166" s="23" t="b">
        <f t="shared" si="67"/>
        <v>0</v>
      </c>
      <c r="AV166" s="23" t="b">
        <f t="shared" si="68"/>
        <v>0</v>
      </c>
      <c r="AW166" s="23" t="b">
        <f t="shared" si="69"/>
        <v>0</v>
      </c>
      <c r="AX166" s="23" t="s">
        <v>132</v>
      </c>
      <c r="AY166" s="23" t="b">
        <v>0</v>
      </c>
      <c r="AZ166" s="23" t="s">
        <v>105</v>
      </c>
    </row>
    <row r="167" spans="1:52" x14ac:dyDescent="0.2">
      <c r="A167" s="23">
        <v>214</v>
      </c>
      <c r="B167" s="23" t="s">
        <v>852</v>
      </c>
      <c r="C167" s="23" t="s">
        <v>859</v>
      </c>
      <c r="D167" s="23" t="b">
        <v>1</v>
      </c>
      <c r="E167" s="23" t="s">
        <v>860</v>
      </c>
      <c r="F167" s="23" t="s">
        <v>861</v>
      </c>
      <c r="G167" s="23" t="s">
        <v>92</v>
      </c>
      <c r="H167" s="23" t="s">
        <v>116</v>
      </c>
      <c r="I167" s="23" t="s">
        <v>862</v>
      </c>
      <c r="J167" s="23" t="s">
        <v>95</v>
      </c>
      <c r="K167" s="23" t="s">
        <v>118</v>
      </c>
      <c r="L167" s="23" t="s">
        <v>858</v>
      </c>
      <c r="Q167" s="23">
        <v>2018</v>
      </c>
      <c r="R167" s="23" t="s">
        <v>99</v>
      </c>
      <c r="T167" s="23" t="s">
        <v>207</v>
      </c>
      <c r="U167" s="23" t="s">
        <v>111</v>
      </c>
      <c r="V167" s="23" t="s">
        <v>112</v>
      </c>
      <c r="W167" s="23" t="s">
        <v>121</v>
      </c>
      <c r="X167" s="23" t="s">
        <v>104</v>
      </c>
      <c r="Y167" s="23" t="b">
        <f t="shared" si="47"/>
        <v>0</v>
      </c>
      <c r="Z167" s="23" t="b">
        <f t="shared" si="48"/>
        <v>0</v>
      </c>
      <c r="AA167" s="23" t="b">
        <f t="shared" si="49"/>
        <v>0</v>
      </c>
      <c r="AB167" s="23" t="b">
        <f t="shared" si="50"/>
        <v>0</v>
      </c>
      <c r="AC167" s="23" t="b">
        <f t="shared" si="51"/>
        <v>0</v>
      </c>
      <c r="AD167" s="23" t="b">
        <f t="shared" si="52"/>
        <v>0</v>
      </c>
      <c r="AE167" s="23" t="b">
        <f t="shared" si="53"/>
        <v>0</v>
      </c>
      <c r="AF167" s="23" t="b">
        <f t="shared" si="54"/>
        <v>0</v>
      </c>
      <c r="AG167" s="23" t="b">
        <f t="shared" si="55"/>
        <v>0</v>
      </c>
      <c r="AH167" s="23" t="b">
        <f t="shared" si="56"/>
        <v>0</v>
      </c>
      <c r="AI167" s="23" t="b">
        <f t="shared" si="57"/>
        <v>0</v>
      </c>
      <c r="AJ167" s="23" t="b">
        <v>0</v>
      </c>
      <c r="AK167" s="23" t="b">
        <f t="shared" si="58"/>
        <v>0</v>
      </c>
      <c r="AL167" s="23" t="b">
        <f t="shared" si="59"/>
        <v>0</v>
      </c>
      <c r="AM167" s="23" t="b">
        <f t="shared" si="60"/>
        <v>0</v>
      </c>
      <c r="AN167" s="23" t="b">
        <f t="shared" si="61"/>
        <v>0</v>
      </c>
      <c r="AO167" s="23" t="b">
        <f t="shared" si="62"/>
        <v>0</v>
      </c>
      <c r="AP167" s="23" t="b">
        <f t="shared" si="63"/>
        <v>1</v>
      </c>
      <c r="AQ167" s="23" t="b">
        <f t="shared" si="64"/>
        <v>0</v>
      </c>
      <c r="AR167" s="23" t="b">
        <f t="shared" si="65"/>
        <v>1</v>
      </c>
      <c r="AS167" s="23" t="b">
        <v>0</v>
      </c>
      <c r="AT167" s="23" t="b">
        <f t="shared" si="66"/>
        <v>1</v>
      </c>
      <c r="AU167" s="23" t="b">
        <f t="shared" si="67"/>
        <v>0</v>
      </c>
      <c r="AV167" s="23" t="b">
        <f t="shared" si="68"/>
        <v>0</v>
      </c>
      <c r="AW167" s="23" t="b">
        <f t="shared" si="69"/>
        <v>0</v>
      </c>
      <c r="AX167" s="23" t="s">
        <v>99</v>
      </c>
      <c r="AY167" s="23" t="b">
        <v>0</v>
      </c>
      <c r="AZ167" s="23" t="s">
        <v>105</v>
      </c>
    </row>
    <row r="168" spans="1:52" x14ac:dyDescent="0.2">
      <c r="A168" s="23">
        <v>215</v>
      </c>
      <c r="B168" s="23" t="s">
        <v>852</v>
      </c>
      <c r="C168" s="23" t="s">
        <v>863</v>
      </c>
      <c r="D168" s="23" t="b">
        <v>1</v>
      </c>
      <c r="E168" s="23" t="s">
        <v>864</v>
      </c>
      <c r="F168" s="23" t="s">
        <v>865</v>
      </c>
      <c r="G168" s="23" t="s">
        <v>92</v>
      </c>
      <c r="H168" s="23" t="s">
        <v>93</v>
      </c>
      <c r="I168" s="23" t="s">
        <v>866</v>
      </c>
      <c r="J168" s="23" t="s">
        <v>95</v>
      </c>
      <c r="K168" s="23" t="s">
        <v>96</v>
      </c>
      <c r="L168" s="23" t="s">
        <v>858</v>
      </c>
      <c r="Q168" s="23">
        <v>2001</v>
      </c>
      <c r="R168" s="23" t="s">
        <v>119</v>
      </c>
      <c r="T168" s="23" t="s">
        <v>100</v>
      </c>
      <c r="U168" s="23" t="s">
        <v>101</v>
      </c>
      <c r="V168" s="23" t="s">
        <v>102</v>
      </c>
      <c r="W168" s="23" t="s">
        <v>103</v>
      </c>
      <c r="X168" s="23" t="s">
        <v>104</v>
      </c>
      <c r="Y168" s="23" t="b">
        <f t="shared" si="47"/>
        <v>0</v>
      </c>
      <c r="Z168" s="23" t="b">
        <f t="shared" si="48"/>
        <v>0</v>
      </c>
      <c r="AA168" s="23" t="b">
        <f t="shared" si="49"/>
        <v>0</v>
      </c>
      <c r="AB168" s="23" t="b">
        <f t="shared" si="50"/>
        <v>0</v>
      </c>
      <c r="AC168" s="23" t="b">
        <f t="shared" si="51"/>
        <v>0</v>
      </c>
      <c r="AD168" s="23" t="b">
        <f t="shared" si="52"/>
        <v>0</v>
      </c>
      <c r="AE168" s="23" t="b">
        <f t="shared" si="53"/>
        <v>0</v>
      </c>
      <c r="AF168" s="23" t="b">
        <f t="shared" si="54"/>
        <v>0</v>
      </c>
      <c r="AG168" s="23" t="b">
        <f t="shared" si="55"/>
        <v>0</v>
      </c>
      <c r="AH168" s="23" t="b">
        <f t="shared" si="56"/>
        <v>0</v>
      </c>
      <c r="AI168" s="23" t="b">
        <f t="shared" si="57"/>
        <v>0</v>
      </c>
      <c r="AJ168" s="23" t="b">
        <v>0</v>
      </c>
      <c r="AK168" s="23" t="b">
        <f t="shared" si="58"/>
        <v>0</v>
      </c>
      <c r="AL168" s="23" t="b">
        <f t="shared" si="59"/>
        <v>0</v>
      </c>
      <c r="AM168" s="23" t="b">
        <f t="shared" si="60"/>
        <v>0</v>
      </c>
      <c r="AN168" s="23" t="b">
        <f t="shared" si="61"/>
        <v>0</v>
      </c>
      <c r="AO168" s="23" t="b">
        <f t="shared" si="62"/>
        <v>0</v>
      </c>
      <c r="AP168" s="23" t="b">
        <f t="shared" si="63"/>
        <v>1</v>
      </c>
      <c r="AQ168" s="23" t="b">
        <f t="shared" si="64"/>
        <v>0</v>
      </c>
      <c r="AR168" s="23" t="b">
        <f t="shared" si="65"/>
        <v>1</v>
      </c>
      <c r="AS168" s="23" t="b">
        <v>0</v>
      </c>
      <c r="AT168" s="23" t="b">
        <f t="shared" si="66"/>
        <v>1</v>
      </c>
      <c r="AU168" s="23" t="b">
        <f t="shared" si="67"/>
        <v>0</v>
      </c>
      <c r="AV168" s="23" t="b">
        <f t="shared" si="68"/>
        <v>0</v>
      </c>
      <c r="AW168" s="23" t="b">
        <f t="shared" si="69"/>
        <v>0</v>
      </c>
      <c r="AX168" s="23" t="s">
        <v>99</v>
      </c>
      <c r="AY168" s="23" t="b">
        <v>0</v>
      </c>
      <c r="AZ168" s="23" t="s">
        <v>105</v>
      </c>
    </row>
    <row r="169" spans="1:52" x14ac:dyDescent="0.2">
      <c r="A169" s="23">
        <v>216</v>
      </c>
      <c r="B169" s="23" t="s">
        <v>852</v>
      </c>
      <c r="C169" s="23" t="s">
        <v>867</v>
      </c>
      <c r="D169" s="23" t="b">
        <v>1</v>
      </c>
      <c r="E169" s="23" t="s">
        <v>868</v>
      </c>
      <c r="F169" s="23" t="s">
        <v>865</v>
      </c>
      <c r="G169" s="23" t="s">
        <v>92</v>
      </c>
      <c r="H169" s="23" t="s">
        <v>93</v>
      </c>
      <c r="I169" s="23" t="s">
        <v>869</v>
      </c>
      <c r="J169" s="23" t="s">
        <v>95</v>
      </c>
      <c r="K169" s="23" t="s">
        <v>96</v>
      </c>
      <c r="L169" s="23" t="s">
        <v>870</v>
      </c>
      <c r="Q169" s="23">
        <v>2001</v>
      </c>
      <c r="R169" s="23" t="s">
        <v>119</v>
      </c>
      <c r="T169" s="23" t="s">
        <v>100</v>
      </c>
      <c r="U169" s="23" t="s">
        <v>101</v>
      </c>
      <c r="V169" s="23" t="s">
        <v>102</v>
      </c>
      <c r="W169" s="23" t="s">
        <v>103</v>
      </c>
      <c r="X169" s="23" t="s">
        <v>104</v>
      </c>
      <c r="Y169" s="23" t="b">
        <f t="shared" si="47"/>
        <v>0</v>
      </c>
      <c r="Z169" s="23" t="b">
        <f t="shared" si="48"/>
        <v>0</v>
      </c>
      <c r="AA169" s="23" t="b">
        <f t="shared" si="49"/>
        <v>0</v>
      </c>
      <c r="AB169" s="23" t="b">
        <f t="shared" si="50"/>
        <v>0</v>
      </c>
      <c r="AC169" s="23" t="b">
        <f t="shared" si="51"/>
        <v>0</v>
      </c>
      <c r="AD169" s="23" t="b">
        <f t="shared" si="52"/>
        <v>0</v>
      </c>
      <c r="AE169" s="23" t="b">
        <f t="shared" si="53"/>
        <v>0</v>
      </c>
      <c r="AF169" s="23" t="b">
        <f t="shared" si="54"/>
        <v>0</v>
      </c>
      <c r="AG169" s="23" t="b">
        <f t="shared" si="55"/>
        <v>0</v>
      </c>
      <c r="AH169" s="23" t="b">
        <f t="shared" si="56"/>
        <v>0</v>
      </c>
      <c r="AI169" s="23" t="b">
        <f t="shared" si="57"/>
        <v>0</v>
      </c>
      <c r="AJ169" s="23" t="b">
        <v>0</v>
      </c>
      <c r="AK169" s="23" t="b">
        <f t="shared" si="58"/>
        <v>0</v>
      </c>
      <c r="AL169" s="23" t="b">
        <f t="shared" si="59"/>
        <v>0</v>
      </c>
      <c r="AM169" s="23" t="b">
        <f t="shared" si="60"/>
        <v>0</v>
      </c>
      <c r="AN169" s="23" t="b">
        <f t="shared" si="61"/>
        <v>0</v>
      </c>
      <c r="AO169" s="23" t="b">
        <f t="shared" si="62"/>
        <v>0</v>
      </c>
      <c r="AP169" s="23" t="b">
        <f t="shared" si="63"/>
        <v>1</v>
      </c>
      <c r="AQ169" s="23" t="b">
        <f t="shared" si="64"/>
        <v>0</v>
      </c>
      <c r="AR169" s="23" t="b">
        <f t="shared" si="65"/>
        <v>1</v>
      </c>
      <c r="AS169" s="23" t="b">
        <v>0</v>
      </c>
      <c r="AT169" s="23" t="b">
        <f t="shared" si="66"/>
        <v>1</v>
      </c>
      <c r="AU169" s="23" t="b">
        <f t="shared" si="67"/>
        <v>0</v>
      </c>
      <c r="AV169" s="23" t="b">
        <f t="shared" si="68"/>
        <v>0</v>
      </c>
      <c r="AW169" s="23" t="b">
        <f t="shared" si="69"/>
        <v>0</v>
      </c>
      <c r="AX169" s="23" t="s">
        <v>99</v>
      </c>
      <c r="AY169" s="23" t="b">
        <v>0</v>
      </c>
      <c r="AZ169" s="23" t="s">
        <v>105</v>
      </c>
    </row>
    <row r="170" spans="1:52" x14ac:dyDescent="0.2">
      <c r="A170" s="23">
        <v>217</v>
      </c>
      <c r="B170" s="23" t="s">
        <v>852</v>
      </c>
      <c r="C170" s="23" t="s">
        <v>871</v>
      </c>
      <c r="D170" s="23" t="b">
        <v>1</v>
      </c>
      <c r="E170" s="23" t="s">
        <v>872</v>
      </c>
      <c r="F170" s="23" t="s">
        <v>865</v>
      </c>
      <c r="G170" s="23" t="s">
        <v>92</v>
      </c>
      <c r="H170" s="23" t="s">
        <v>93</v>
      </c>
      <c r="I170" s="23" t="s">
        <v>873</v>
      </c>
      <c r="J170" s="23" t="s">
        <v>95</v>
      </c>
      <c r="K170" s="23" t="s">
        <v>96</v>
      </c>
      <c r="L170" s="23" t="s">
        <v>870</v>
      </c>
      <c r="Q170" s="23">
        <v>2001</v>
      </c>
      <c r="R170" s="23" t="s">
        <v>119</v>
      </c>
      <c r="T170" s="23" t="s">
        <v>100</v>
      </c>
      <c r="U170" s="23" t="s">
        <v>101</v>
      </c>
      <c r="V170" s="23" t="s">
        <v>102</v>
      </c>
      <c r="W170" s="23" t="s">
        <v>103</v>
      </c>
      <c r="X170" s="23" t="s">
        <v>104</v>
      </c>
      <c r="Y170" s="23" t="b">
        <f t="shared" si="47"/>
        <v>0</v>
      </c>
      <c r="Z170" s="23" t="b">
        <f t="shared" si="48"/>
        <v>0</v>
      </c>
      <c r="AA170" s="23" t="b">
        <f t="shared" si="49"/>
        <v>0</v>
      </c>
      <c r="AB170" s="23" t="b">
        <f t="shared" si="50"/>
        <v>0</v>
      </c>
      <c r="AC170" s="23" t="b">
        <f t="shared" si="51"/>
        <v>0</v>
      </c>
      <c r="AD170" s="23" t="b">
        <f t="shared" si="52"/>
        <v>0</v>
      </c>
      <c r="AE170" s="23" t="b">
        <f t="shared" si="53"/>
        <v>0</v>
      </c>
      <c r="AF170" s="23" t="b">
        <f t="shared" si="54"/>
        <v>0</v>
      </c>
      <c r="AG170" s="23" t="b">
        <f t="shared" si="55"/>
        <v>0</v>
      </c>
      <c r="AH170" s="23" t="b">
        <f t="shared" si="56"/>
        <v>0</v>
      </c>
      <c r="AI170" s="23" t="b">
        <f t="shared" si="57"/>
        <v>0</v>
      </c>
      <c r="AJ170" s="23" t="b">
        <v>0</v>
      </c>
      <c r="AK170" s="23" t="b">
        <f t="shared" si="58"/>
        <v>0</v>
      </c>
      <c r="AL170" s="23" t="b">
        <f t="shared" si="59"/>
        <v>0</v>
      </c>
      <c r="AM170" s="23" t="b">
        <f t="shared" si="60"/>
        <v>0</v>
      </c>
      <c r="AN170" s="23" t="b">
        <f t="shared" si="61"/>
        <v>0</v>
      </c>
      <c r="AO170" s="23" t="b">
        <f t="shared" si="62"/>
        <v>0</v>
      </c>
      <c r="AP170" s="23" t="b">
        <f t="shared" si="63"/>
        <v>1</v>
      </c>
      <c r="AQ170" s="23" t="b">
        <f t="shared" si="64"/>
        <v>0</v>
      </c>
      <c r="AR170" s="23" t="b">
        <f t="shared" si="65"/>
        <v>1</v>
      </c>
      <c r="AS170" s="23" t="b">
        <v>0</v>
      </c>
      <c r="AT170" s="23" t="b">
        <f t="shared" si="66"/>
        <v>1</v>
      </c>
      <c r="AU170" s="23" t="b">
        <f t="shared" si="67"/>
        <v>0</v>
      </c>
      <c r="AV170" s="23" t="b">
        <f t="shared" si="68"/>
        <v>0</v>
      </c>
      <c r="AW170" s="23" t="b">
        <f t="shared" si="69"/>
        <v>0</v>
      </c>
      <c r="AX170" s="23" t="s">
        <v>99</v>
      </c>
      <c r="AY170" s="23" t="b">
        <v>0</v>
      </c>
      <c r="AZ170" s="23" t="s">
        <v>105</v>
      </c>
    </row>
    <row r="171" spans="1:52" x14ac:dyDescent="0.2">
      <c r="A171" s="23">
        <v>218</v>
      </c>
      <c r="B171" s="23" t="s">
        <v>852</v>
      </c>
      <c r="C171" s="23" t="s">
        <v>874</v>
      </c>
      <c r="D171" s="23" t="b">
        <v>1</v>
      </c>
      <c r="E171" s="23" t="s">
        <v>875</v>
      </c>
      <c r="F171" s="23" t="s">
        <v>865</v>
      </c>
      <c r="G171" s="23" t="s">
        <v>92</v>
      </c>
      <c r="H171" s="23" t="s">
        <v>93</v>
      </c>
      <c r="I171" s="23" t="s">
        <v>876</v>
      </c>
      <c r="J171" s="23" t="s">
        <v>95</v>
      </c>
      <c r="K171" s="23" t="s">
        <v>96</v>
      </c>
      <c r="L171" s="23" t="s">
        <v>870</v>
      </c>
      <c r="Q171" s="23">
        <v>2001</v>
      </c>
      <c r="R171" s="23" t="s">
        <v>119</v>
      </c>
      <c r="T171" s="23" t="s">
        <v>100</v>
      </c>
      <c r="U171" s="23" t="s">
        <v>101</v>
      </c>
      <c r="V171" s="23" t="s">
        <v>102</v>
      </c>
      <c r="W171" s="23" t="s">
        <v>103</v>
      </c>
      <c r="X171" s="23" t="s">
        <v>104</v>
      </c>
      <c r="Y171" s="23" t="b">
        <f t="shared" si="47"/>
        <v>0</v>
      </c>
      <c r="Z171" s="23" t="b">
        <f t="shared" si="48"/>
        <v>0</v>
      </c>
      <c r="AA171" s="23" t="b">
        <f t="shared" si="49"/>
        <v>0</v>
      </c>
      <c r="AB171" s="23" t="b">
        <f t="shared" si="50"/>
        <v>0</v>
      </c>
      <c r="AC171" s="23" t="b">
        <f t="shared" si="51"/>
        <v>0</v>
      </c>
      <c r="AD171" s="23" t="b">
        <f t="shared" si="52"/>
        <v>0</v>
      </c>
      <c r="AE171" s="23" t="b">
        <f t="shared" si="53"/>
        <v>0</v>
      </c>
      <c r="AF171" s="23" t="b">
        <f t="shared" si="54"/>
        <v>0</v>
      </c>
      <c r="AG171" s="23" t="b">
        <f t="shared" si="55"/>
        <v>0</v>
      </c>
      <c r="AH171" s="23" t="b">
        <f t="shared" si="56"/>
        <v>0</v>
      </c>
      <c r="AI171" s="23" t="b">
        <f t="shared" si="57"/>
        <v>0</v>
      </c>
      <c r="AJ171" s="23" t="b">
        <v>0</v>
      </c>
      <c r="AK171" s="23" t="b">
        <f t="shared" si="58"/>
        <v>0</v>
      </c>
      <c r="AL171" s="23" t="b">
        <f t="shared" si="59"/>
        <v>0</v>
      </c>
      <c r="AM171" s="23" t="b">
        <f t="shared" si="60"/>
        <v>0</v>
      </c>
      <c r="AN171" s="23" t="b">
        <f t="shared" si="61"/>
        <v>0</v>
      </c>
      <c r="AO171" s="23" t="b">
        <f t="shared" si="62"/>
        <v>0</v>
      </c>
      <c r="AP171" s="23" t="b">
        <f t="shared" si="63"/>
        <v>1</v>
      </c>
      <c r="AQ171" s="23" t="b">
        <f t="shared" si="64"/>
        <v>0</v>
      </c>
      <c r="AR171" s="23" t="b">
        <f t="shared" si="65"/>
        <v>1</v>
      </c>
      <c r="AS171" s="23" t="b">
        <v>0</v>
      </c>
      <c r="AT171" s="23" t="b">
        <f t="shared" si="66"/>
        <v>1</v>
      </c>
      <c r="AU171" s="23" t="b">
        <f t="shared" si="67"/>
        <v>0</v>
      </c>
      <c r="AV171" s="23" t="b">
        <f t="shared" si="68"/>
        <v>0</v>
      </c>
      <c r="AW171" s="23" t="b">
        <f t="shared" si="69"/>
        <v>0</v>
      </c>
      <c r="AX171" s="23" t="s">
        <v>99</v>
      </c>
      <c r="AY171" s="23" t="b">
        <v>0</v>
      </c>
      <c r="AZ171" s="23" t="s">
        <v>105</v>
      </c>
    </row>
    <row r="172" spans="1:52" x14ac:dyDescent="0.2">
      <c r="A172" s="23">
        <v>219</v>
      </c>
      <c r="B172" s="23" t="s">
        <v>852</v>
      </c>
      <c r="C172" s="23" t="s">
        <v>877</v>
      </c>
      <c r="D172" s="23" t="b">
        <v>1</v>
      </c>
      <c r="E172" s="23" t="s">
        <v>878</v>
      </c>
      <c r="F172" s="23" t="s">
        <v>879</v>
      </c>
      <c r="G172" s="23" t="s">
        <v>92</v>
      </c>
      <c r="H172" s="23" t="s">
        <v>365</v>
      </c>
      <c r="I172" s="23" t="s">
        <v>880</v>
      </c>
      <c r="J172" s="23" t="s">
        <v>95</v>
      </c>
      <c r="K172" s="23" t="s">
        <v>96</v>
      </c>
      <c r="L172" s="23" t="s">
        <v>870</v>
      </c>
      <c r="Q172" s="23">
        <v>2001</v>
      </c>
      <c r="R172" s="23" t="s">
        <v>119</v>
      </c>
      <c r="T172" s="23" t="s">
        <v>100</v>
      </c>
      <c r="U172" s="23" t="s">
        <v>101</v>
      </c>
      <c r="V172" s="23" t="s">
        <v>102</v>
      </c>
      <c r="W172" s="23" t="s">
        <v>103</v>
      </c>
      <c r="X172" s="23" t="s">
        <v>104</v>
      </c>
      <c r="Y172" s="23" t="b">
        <f t="shared" si="47"/>
        <v>0</v>
      </c>
      <c r="Z172" s="23" t="b">
        <f t="shared" si="48"/>
        <v>0</v>
      </c>
      <c r="AA172" s="23" t="b">
        <f t="shared" si="49"/>
        <v>0</v>
      </c>
      <c r="AB172" s="23" t="b">
        <f t="shared" si="50"/>
        <v>0</v>
      </c>
      <c r="AC172" s="23" t="b">
        <f t="shared" si="51"/>
        <v>0</v>
      </c>
      <c r="AD172" s="23" t="b">
        <f t="shared" si="52"/>
        <v>0</v>
      </c>
      <c r="AE172" s="23" t="b">
        <f t="shared" si="53"/>
        <v>0</v>
      </c>
      <c r="AF172" s="23" t="b">
        <f t="shared" si="54"/>
        <v>0</v>
      </c>
      <c r="AG172" s="23" t="b">
        <f t="shared" si="55"/>
        <v>0</v>
      </c>
      <c r="AH172" s="23" t="b">
        <f t="shared" si="56"/>
        <v>0</v>
      </c>
      <c r="AI172" s="23" t="b">
        <f t="shared" si="57"/>
        <v>0</v>
      </c>
      <c r="AJ172" s="23" t="b">
        <v>0</v>
      </c>
      <c r="AK172" s="23" t="b">
        <f t="shared" si="58"/>
        <v>0</v>
      </c>
      <c r="AL172" s="23" t="b">
        <f t="shared" si="59"/>
        <v>0</v>
      </c>
      <c r="AM172" s="23" t="b">
        <f t="shared" si="60"/>
        <v>0</v>
      </c>
      <c r="AN172" s="23" t="b">
        <f t="shared" si="61"/>
        <v>0</v>
      </c>
      <c r="AO172" s="23" t="b">
        <f t="shared" si="62"/>
        <v>0</v>
      </c>
      <c r="AP172" s="23" t="b">
        <f t="shared" si="63"/>
        <v>1</v>
      </c>
      <c r="AQ172" s="23" t="b">
        <f t="shared" si="64"/>
        <v>0</v>
      </c>
      <c r="AR172" s="23" t="b">
        <f t="shared" si="65"/>
        <v>1</v>
      </c>
      <c r="AS172" s="23" t="b">
        <v>0</v>
      </c>
      <c r="AT172" s="23" t="b">
        <f t="shared" si="66"/>
        <v>1</v>
      </c>
      <c r="AU172" s="23" t="b">
        <f t="shared" si="67"/>
        <v>0</v>
      </c>
      <c r="AV172" s="23" t="b">
        <f t="shared" si="68"/>
        <v>0</v>
      </c>
      <c r="AW172" s="23" t="b">
        <f t="shared" si="69"/>
        <v>0</v>
      </c>
      <c r="AX172" s="23" t="s">
        <v>99</v>
      </c>
      <c r="AY172" s="23" t="b">
        <v>0</v>
      </c>
      <c r="AZ172" s="23" t="s">
        <v>105</v>
      </c>
    </row>
    <row r="173" spans="1:52" x14ac:dyDescent="0.2">
      <c r="A173" s="23">
        <v>220</v>
      </c>
      <c r="B173" s="23" t="s">
        <v>852</v>
      </c>
      <c r="C173" s="23" t="s">
        <v>881</v>
      </c>
      <c r="D173" s="23" t="b">
        <v>1</v>
      </c>
      <c r="E173" s="23" t="s">
        <v>882</v>
      </c>
      <c r="F173" s="23" t="s">
        <v>883</v>
      </c>
      <c r="G173" s="23" t="s">
        <v>92</v>
      </c>
      <c r="H173" s="23" t="s">
        <v>116</v>
      </c>
      <c r="I173" s="23" t="s">
        <v>884</v>
      </c>
      <c r="J173" s="23" t="s">
        <v>95</v>
      </c>
      <c r="K173" s="23" t="s">
        <v>118</v>
      </c>
      <c r="L173" s="23" t="s">
        <v>870</v>
      </c>
      <c r="Q173" s="23">
        <v>2022</v>
      </c>
      <c r="R173" s="23" t="s">
        <v>119</v>
      </c>
      <c r="T173" s="23" t="s">
        <v>885</v>
      </c>
      <c r="U173" s="23" t="s">
        <v>244</v>
      </c>
      <c r="V173" s="23" t="s">
        <v>223</v>
      </c>
      <c r="W173" s="23" t="s">
        <v>121</v>
      </c>
      <c r="X173" s="23" t="s">
        <v>104</v>
      </c>
      <c r="Y173" s="23" t="b">
        <f t="shared" si="47"/>
        <v>0</v>
      </c>
      <c r="Z173" s="23" t="b">
        <f t="shared" si="48"/>
        <v>0</v>
      </c>
      <c r="AA173" s="23" t="b">
        <f t="shared" si="49"/>
        <v>0</v>
      </c>
      <c r="AB173" s="23" t="b">
        <f t="shared" si="50"/>
        <v>0</v>
      </c>
      <c r="AC173" s="23" t="b">
        <f t="shared" si="51"/>
        <v>0</v>
      </c>
      <c r="AD173" s="23" t="b">
        <f t="shared" si="52"/>
        <v>0</v>
      </c>
      <c r="AE173" s="23" t="b">
        <f t="shared" si="53"/>
        <v>0</v>
      </c>
      <c r="AF173" s="23" t="b">
        <f t="shared" si="54"/>
        <v>0</v>
      </c>
      <c r="AG173" s="23" t="b">
        <f t="shared" si="55"/>
        <v>0</v>
      </c>
      <c r="AH173" s="23" t="b">
        <f t="shared" si="56"/>
        <v>0</v>
      </c>
      <c r="AI173" s="23" t="b">
        <f t="shared" si="57"/>
        <v>0</v>
      </c>
      <c r="AJ173" s="23" t="b">
        <v>0</v>
      </c>
      <c r="AK173" s="23" t="b">
        <f t="shared" si="58"/>
        <v>0</v>
      </c>
      <c r="AL173" s="23" t="b">
        <f t="shared" si="59"/>
        <v>0</v>
      </c>
      <c r="AM173" s="23" t="b">
        <f t="shared" si="60"/>
        <v>0</v>
      </c>
      <c r="AN173" s="23" t="b">
        <f t="shared" si="61"/>
        <v>0</v>
      </c>
      <c r="AO173" s="23" t="b">
        <f t="shared" si="62"/>
        <v>0</v>
      </c>
      <c r="AP173" s="23" t="b">
        <f t="shared" si="63"/>
        <v>1</v>
      </c>
      <c r="AQ173" s="23" t="b">
        <f t="shared" si="64"/>
        <v>0</v>
      </c>
      <c r="AR173" s="23" t="b">
        <f t="shared" si="65"/>
        <v>1</v>
      </c>
      <c r="AS173" s="23" t="b">
        <v>0</v>
      </c>
      <c r="AT173" s="23" t="b">
        <f t="shared" si="66"/>
        <v>1</v>
      </c>
      <c r="AU173" s="23" t="b">
        <f t="shared" si="67"/>
        <v>0</v>
      </c>
      <c r="AV173" s="23" t="b">
        <f t="shared" si="68"/>
        <v>0</v>
      </c>
      <c r="AW173" s="23" t="b">
        <f t="shared" si="69"/>
        <v>0</v>
      </c>
      <c r="AX173" s="23" t="s">
        <v>99</v>
      </c>
      <c r="AY173" s="23" t="b">
        <v>0</v>
      </c>
      <c r="AZ173" s="23" t="s">
        <v>105</v>
      </c>
    </row>
    <row r="174" spans="1:52" x14ac:dyDescent="0.2">
      <c r="A174" s="23">
        <v>221</v>
      </c>
      <c r="B174" s="23" t="s">
        <v>852</v>
      </c>
      <c r="C174" s="23" t="s">
        <v>881</v>
      </c>
      <c r="D174" s="23" t="b">
        <v>1</v>
      </c>
      <c r="E174" s="23" t="s">
        <v>886</v>
      </c>
      <c r="F174" s="23" t="s">
        <v>887</v>
      </c>
      <c r="G174" s="23" t="s">
        <v>92</v>
      </c>
      <c r="H174" s="23" t="s">
        <v>116</v>
      </c>
      <c r="I174" s="23" t="s">
        <v>888</v>
      </c>
      <c r="J174" s="23" t="s">
        <v>95</v>
      </c>
      <c r="K174" s="23" t="s">
        <v>118</v>
      </c>
      <c r="L174" s="23" t="s">
        <v>870</v>
      </c>
      <c r="Q174" s="23">
        <v>2022</v>
      </c>
      <c r="R174" s="23" t="s">
        <v>119</v>
      </c>
      <c r="T174" s="23" t="s">
        <v>617</v>
      </c>
      <c r="U174" s="23" t="s">
        <v>244</v>
      </c>
      <c r="V174" s="23" t="s">
        <v>223</v>
      </c>
      <c r="W174" s="23" t="s">
        <v>121</v>
      </c>
      <c r="X174" s="23" t="s">
        <v>104</v>
      </c>
      <c r="Y174" s="23" t="b">
        <f t="shared" si="47"/>
        <v>0</v>
      </c>
      <c r="Z174" s="23" t="b">
        <f t="shared" si="48"/>
        <v>0</v>
      </c>
      <c r="AA174" s="23" t="b">
        <f t="shared" si="49"/>
        <v>0</v>
      </c>
      <c r="AB174" s="23" t="b">
        <f t="shared" si="50"/>
        <v>0</v>
      </c>
      <c r="AC174" s="23" t="b">
        <f t="shared" si="51"/>
        <v>0</v>
      </c>
      <c r="AD174" s="23" t="b">
        <f t="shared" si="52"/>
        <v>0</v>
      </c>
      <c r="AE174" s="23" t="b">
        <f t="shared" si="53"/>
        <v>0</v>
      </c>
      <c r="AF174" s="23" t="b">
        <f t="shared" si="54"/>
        <v>0</v>
      </c>
      <c r="AG174" s="23" t="b">
        <f t="shared" si="55"/>
        <v>0</v>
      </c>
      <c r="AH174" s="23" t="b">
        <f t="shared" si="56"/>
        <v>0</v>
      </c>
      <c r="AI174" s="23" t="b">
        <f t="shared" si="57"/>
        <v>0</v>
      </c>
      <c r="AJ174" s="23" t="b">
        <v>0</v>
      </c>
      <c r="AK174" s="23" t="b">
        <f t="shared" si="58"/>
        <v>0</v>
      </c>
      <c r="AL174" s="23" t="b">
        <f t="shared" si="59"/>
        <v>0</v>
      </c>
      <c r="AM174" s="23" t="b">
        <f t="shared" si="60"/>
        <v>0</v>
      </c>
      <c r="AN174" s="23" t="b">
        <f t="shared" si="61"/>
        <v>0</v>
      </c>
      <c r="AO174" s="23" t="b">
        <f t="shared" si="62"/>
        <v>0</v>
      </c>
      <c r="AP174" s="23" t="b">
        <f t="shared" si="63"/>
        <v>1</v>
      </c>
      <c r="AQ174" s="23" t="b">
        <f t="shared" si="64"/>
        <v>0</v>
      </c>
      <c r="AR174" s="23" t="b">
        <f t="shared" si="65"/>
        <v>1</v>
      </c>
      <c r="AS174" s="23" t="b">
        <v>0</v>
      </c>
      <c r="AT174" s="23" t="b">
        <f t="shared" si="66"/>
        <v>1</v>
      </c>
      <c r="AU174" s="23" t="b">
        <f t="shared" si="67"/>
        <v>0</v>
      </c>
      <c r="AV174" s="23" t="b">
        <f t="shared" si="68"/>
        <v>0</v>
      </c>
      <c r="AW174" s="23" t="b">
        <f t="shared" si="69"/>
        <v>0</v>
      </c>
      <c r="AX174" s="23" t="s">
        <v>99</v>
      </c>
      <c r="AY174" s="23" t="b">
        <v>0</v>
      </c>
      <c r="AZ174" s="23" t="s">
        <v>105</v>
      </c>
    </row>
    <row r="175" spans="1:52" x14ac:dyDescent="0.2">
      <c r="A175" s="23">
        <v>222</v>
      </c>
      <c r="B175" s="23" t="s">
        <v>852</v>
      </c>
      <c r="C175" s="23" t="s">
        <v>889</v>
      </c>
      <c r="D175" s="23" t="b">
        <v>1</v>
      </c>
      <c r="E175" s="23" t="s">
        <v>890</v>
      </c>
      <c r="F175" s="23" t="s">
        <v>891</v>
      </c>
      <c r="G175" s="23" t="s">
        <v>92</v>
      </c>
      <c r="H175" s="23" t="s">
        <v>93</v>
      </c>
      <c r="I175" s="23" t="s">
        <v>892</v>
      </c>
      <c r="J175" s="23" t="s">
        <v>95</v>
      </c>
      <c r="K175" s="23" t="s">
        <v>96</v>
      </c>
      <c r="Q175" s="23">
        <v>2001</v>
      </c>
      <c r="R175" s="23" t="s">
        <v>119</v>
      </c>
      <c r="T175" s="23" t="s">
        <v>100</v>
      </c>
      <c r="U175" s="23" t="s">
        <v>101</v>
      </c>
      <c r="V175" s="23" t="s">
        <v>102</v>
      </c>
      <c r="W175" s="23" t="s">
        <v>103</v>
      </c>
      <c r="X175" s="23" t="s">
        <v>104</v>
      </c>
      <c r="Y175" s="23" t="b">
        <f t="shared" si="47"/>
        <v>0</v>
      </c>
      <c r="Z175" s="23" t="b">
        <f t="shared" si="48"/>
        <v>0</v>
      </c>
      <c r="AA175" s="23" t="b">
        <f t="shared" si="49"/>
        <v>0</v>
      </c>
      <c r="AB175" s="23" t="b">
        <f t="shared" si="50"/>
        <v>0</v>
      </c>
      <c r="AC175" s="23" t="b">
        <f t="shared" si="51"/>
        <v>0</v>
      </c>
      <c r="AD175" s="23" t="b">
        <f t="shared" si="52"/>
        <v>0</v>
      </c>
      <c r="AE175" s="23" t="b">
        <f t="shared" si="53"/>
        <v>0</v>
      </c>
      <c r="AF175" s="23" t="b">
        <f t="shared" si="54"/>
        <v>0</v>
      </c>
      <c r="AG175" s="23" t="b">
        <f t="shared" si="55"/>
        <v>0</v>
      </c>
      <c r="AH175" s="23" t="b">
        <f t="shared" si="56"/>
        <v>0</v>
      </c>
      <c r="AI175" s="23" t="b">
        <f t="shared" si="57"/>
        <v>0</v>
      </c>
      <c r="AJ175" s="23" t="b">
        <v>1</v>
      </c>
      <c r="AK175" s="23" t="b">
        <f t="shared" si="58"/>
        <v>0</v>
      </c>
      <c r="AL175" s="23" t="b">
        <f t="shared" si="59"/>
        <v>0</v>
      </c>
      <c r="AM175" s="23" t="b">
        <f t="shared" si="60"/>
        <v>0</v>
      </c>
      <c r="AN175" s="23" t="b">
        <f t="shared" si="61"/>
        <v>0</v>
      </c>
      <c r="AO175" s="23" t="b">
        <f t="shared" si="62"/>
        <v>0</v>
      </c>
      <c r="AP175" s="23" t="b">
        <f t="shared" si="63"/>
        <v>0</v>
      </c>
      <c r="AQ175" s="23" t="b">
        <f t="shared" si="64"/>
        <v>0</v>
      </c>
      <c r="AR175" s="23" t="b">
        <f t="shared" si="65"/>
        <v>0</v>
      </c>
      <c r="AS175" s="23" t="b">
        <v>1</v>
      </c>
      <c r="AT175" s="23" t="b">
        <f t="shared" si="66"/>
        <v>0</v>
      </c>
      <c r="AU175" s="23" t="b">
        <f t="shared" si="67"/>
        <v>0</v>
      </c>
      <c r="AV175" s="23" t="b">
        <f t="shared" si="68"/>
        <v>0</v>
      </c>
      <c r="AW175" s="23" t="b">
        <f t="shared" si="69"/>
        <v>0</v>
      </c>
      <c r="AX175" s="23" t="s">
        <v>99</v>
      </c>
      <c r="AY175" s="23" t="b">
        <v>0</v>
      </c>
      <c r="AZ175" s="23" t="s">
        <v>105</v>
      </c>
    </row>
    <row r="176" spans="1:52" x14ac:dyDescent="0.2">
      <c r="A176" s="23">
        <v>223</v>
      </c>
      <c r="B176" s="23" t="s">
        <v>852</v>
      </c>
      <c r="C176" s="23" t="s">
        <v>893</v>
      </c>
      <c r="D176" s="23" t="b">
        <v>1</v>
      </c>
      <c r="E176" s="23" t="s">
        <v>894</v>
      </c>
      <c r="F176" s="23" t="s">
        <v>895</v>
      </c>
      <c r="G176" s="23" t="s">
        <v>92</v>
      </c>
      <c r="H176" s="23" t="s">
        <v>93</v>
      </c>
      <c r="I176" s="23" t="s">
        <v>896</v>
      </c>
      <c r="J176" s="23" t="s">
        <v>95</v>
      </c>
      <c r="K176" s="23" t="s">
        <v>96</v>
      </c>
      <c r="Q176" s="23">
        <v>2001</v>
      </c>
      <c r="R176" s="23" t="s">
        <v>119</v>
      </c>
      <c r="T176" s="23" t="s">
        <v>100</v>
      </c>
      <c r="U176" s="23" t="s">
        <v>101</v>
      </c>
      <c r="V176" s="23" t="s">
        <v>102</v>
      </c>
      <c r="W176" s="23" t="s">
        <v>103</v>
      </c>
      <c r="X176" s="23" t="s">
        <v>104</v>
      </c>
      <c r="Y176" s="23" t="b">
        <f t="shared" si="47"/>
        <v>0</v>
      </c>
      <c r="Z176" s="23" t="b">
        <f t="shared" si="48"/>
        <v>0</v>
      </c>
      <c r="AA176" s="23" t="b">
        <f t="shared" si="49"/>
        <v>0</v>
      </c>
      <c r="AB176" s="23" t="b">
        <f t="shared" si="50"/>
        <v>0</v>
      </c>
      <c r="AC176" s="23" t="b">
        <f t="shared" si="51"/>
        <v>0</v>
      </c>
      <c r="AD176" s="23" t="b">
        <f t="shared" si="52"/>
        <v>0</v>
      </c>
      <c r="AE176" s="23" t="b">
        <f t="shared" si="53"/>
        <v>0</v>
      </c>
      <c r="AF176" s="23" t="b">
        <f t="shared" si="54"/>
        <v>0</v>
      </c>
      <c r="AG176" s="23" t="b">
        <f t="shared" si="55"/>
        <v>0</v>
      </c>
      <c r="AH176" s="23" t="b">
        <f t="shared" si="56"/>
        <v>0</v>
      </c>
      <c r="AI176" s="23" t="b">
        <f t="shared" si="57"/>
        <v>0</v>
      </c>
      <c r="AJ176" s="23" t="b">
        <v>1</v>
      </c>
      <c r="AK176" s="23" t="b">
        <f t="shared" si="58"/>
        <v>0</v>
      </c>
      <c r="AL176" s="23" t="b">
        <f t="shared" si="59"/>
        <v>0</v>
      </c>
      <c r="AM176" s="23" t="b">
        <f t="shared" si="60"/>
        <v>0</v>
      </c>
      <c r="AN176" s="23" t="b">
        <f t="shared" si="61"/>
        <v>0</v>
      </c>
      <c r="AO176" s="23" t="b">
        <f t="shared" si="62"/>
        <v>0</v>
      </c>
      <c r="AP176" s="23" t="b">
        <f t="shared" si="63"/>
        <v>0</v>
      </c>
      <c r="AQ176" s="23" t="b">
        <f t="shared" si="64"/>
        <v>0</v>
      </c>
      <c r="AR176" s="23" t="b">
        <f t="shared" si="65"/>
        <v>0</v>
      </c>
      <c r="AS176" s="23" t="b">
        <v>1</v>
      </c>
      <c r="AT176" s="23" t="b">
        <f t="shared" si="66"/>
        <v>0</v>
      </c>
      <c r="AU176" s="23" t="b">
        <f t="shared" si="67"/>
        <v>0</v>
      </c>
      <c r="AV176" s="23" t="b">
        <f t="shared" si="68"/>
        <v>0</v>
      </c>
      <c r="AW176" s="23" t="b">
        <f t="shared" si="69"/>
        <v>0</v>
      </c>
      <c r="AX176" s="23" t="s">
        <v>99</v>
      </c>
      <c r="AY176" s="23" t="b">
        <v>0</v>
      </c>
      <c r="AZ176" s="23" t="s">
        <v>105</v>
      </c>
    </row>
    <row r="177" spans="1:52" x14ac:dyDescent="0.2">
      <c r="A177" s="23">
        <v>224</v>
      </c>
      <c r="B177" s="23" t="s">
        <v>852</v>
      </c>
      <c r="C177" s="23" t="s">
        <v>897</v>
      </c>
      <c r="D177" s="23" t="b">
        <v>1</v>
      </c>
      <c r="E177" s="23" t="s">
        <v>898</v>
      </c>
      <c r="F177" s="23" t="s">
        <v>899</v>
      </c>
      <c r="G177" s="23" t="s">
        <v>92</v>
      </c>
      <c r="H177" s="23" t="s">
        <v>93</v>
      </c>
      <c r="I177" s="23" t="s">
        <v>900</v>
      </c>
      <c r="J177" s="23" t="s">
        <v>95</v>
      </c>
      <c r="K177" s="23" t="s">
        <v>96</v>
      </c>
      <c r="Q177" s="23">
        <v>2001</v>
      </c>
      <c r="R177" s="23" t="s">
        <v>119</v>
      </c>
      <c r="T177" s="23" t="s">
        <v>100</v>
      </c>
      <c r="U177" s="23" t="s">
        <v>101</v>
      </c>
      <c r="V177" s="23" t="s">
        <v>102</v>
      </c>
      <c r="W177" s="23" t="s">
        <v>103</v>
      </c>
      <c r="X177" s="23" t="s">
        <v>104</v>
      </c>
      <c r="Y177" s="23" t="b">
        <f t="shared" si="47"/>
        <v>0</v>
      </c>
      <c r="Z177" s="23" t="b">
        <f t="shared" si="48"/>
        <v>0</v>
      </c>
      <c r="AA177" s="23" t="b">
        <f t="shared" si="49"/>
        <v>0</v>
      </c>
      <c r="AB177" s="23" t="b">
        <f t="shared" si="50"/>
        <v>0</v>
      </c>
      <c r="AC177" s="23" t="b">
        <f t="shared" si="51"/>
        <v>0</v>
      </c>
      <c r="AD177" s="23" t="b">
        <f t="shared" si="52"/>
        <v>0</v>
      </c>
      <c r="AE177" s="23" t="b">
        <f t="shared" si="53"/>
        <v>0</v>
      </c>
      <c r="AF177" s="23" t="b">
        <f t="shared" si="54"/>
        <v>0</v>
      </c>
      <c r="AG177" s="23" t="b">
        <f t="shared" si="55"/>
        <v>0</v>
      </c>
      <c r="AH177" s="23" t="b">
        <f t="shared" si="56"/>
        <v>0</v>
      </c>
      <c r="AI177" s="23" t="b">
        <f t="shared" si="57"/>
        <v>0</v>
      </c>
      <c r="AJ177" s="23" t="b">
        <v>1</v>
      </c>
      <c r="AK177" s="23" t="b">
        <f t="shared" si="58"/>
        <v>0</v>
      </c>
      <c r="AL177" s="23" t="b">
        <f t="shared" si="59"/>
        <v>0</v>
      </c>
      <c r="AM177" s="23" t="b">
        <f t="shared" si="60"/>
        <v>0</v>
      </c>
      <c r="AN177" s="23" t="b">
        <f t="shared" si="61"/>
        <v>0</v>
      </c>
      <c r="AO177" s="23" t="b">
        <f t="shared" si="62"/>
        <v>0</v>
      </c>
      <c r="AP177" s="23" t="b">
        <f t="shared" si="63"/>
        <v>0</v>
      </c>
      <c r="AQ177" s="23" t="b">
        <f t="shared" si="64"/>
        <v>0</v>
      </c>
      <c r="AR177" s="23" t="b">
        <f t="shared" si="65"/>
        <v>0</v>
      </c>
      <c r="AS177" s="23" t="b">
        <v>1</v>
      </c>
      <c r="AT177" s="23" t="b">
        <f t="shared" si="66"/>
        <v>0</v>
      </c>
      <c r="AU177" s="23" t="b">
        <f t="shared" si="67"/>
        <v>0</v>
      </c>
      <c r="AV177" s="23" t="b">
        <f t="shared" si="68"/>
        <v>0</v>
      </c>
      <c r="AW177" s="23" t="b">
        <f t="shared" si="69"/>
        <v>0</v>
      </c>
      <c r="AX177" s="23" t="s">
        <v>99</v>
      </c>
      <c r="AY177" s="23" t="b">
        <v>0</v>
      </c>
      <c r="AZ177" s="23" t="s">
        <v>105</v>
      </c>
    </row>
    <row r="178" spans="1:52" x14ac:dyDescent="0.2">
      <c r="A178" s="23">
        <v>225</v>
      </c>
      <c r="B178" s="23" t="s">
        <v>852</v>
      </c>
      <c r="C178" s="23" t="s">
        <v>901</v>
      </c>
      <c r="D178" s="23" t="b">
        <v>1</v>
      </c>
      <c r="E178" s="23" t="s">
        <v>902</v>
      </c>
      <c r="F178" s="23" t="s">
        <v>903</v>
      </c>
      <c r="G178" s="23" t="s">
        <v>92</v>
      </c>
      <c r="H178" s="23" t="s">
        <v>116</v>
      </c>
      <c r="I178" s="23" t="s">
        <v>904</v>
      </c>
      <c r="J178" s="23" t="s">
        <v>95</v>
      </c>
      <c r="K178" s="23" t="s">
        <v>118</v>
      </c>
      <c r="L178" s="23" t="s">
        <v>668</v>
      </c>
      <c r="M178" s="23" t="s">
        <v>905</v>
      </c>
      <c r="Q178" s="23">
        <v>2022</v>
      </c>
      <c r="R178" s="23" t="s">
        <v>119</v>
      </c>
      <c r="T178" s="23" t="s">
        <v>906</v>
      </c>
      <c r="U178" s="23" t="s">
        <v>244</v>
      </c>
      <c r="V178" s="23" t="s">
        <v>223</v>
      </c>
      <c r="W178" s="23" t="s">
        <v>121</v>
      </c>
      <c r="X178" s="23" t="s">
        <v>104</v>
      </c>
      <c r="Y178" s="23" t="b">
        <f t="shared" si="47"/>
        <v>0</v>
      </c>
      <c r="Z178" s="23" t="b">
        <f t="shared" si="48"/>
        <v>0</v>
      </c>
      <c r="AA178" s="23" t="b">
        <f t="shared" si="49"/>
        <v>0</v>
      </c>
      <c r="AB178" s="23" t="b">
        <f t="shared" si="50"/>
        <v>0</v>
      </c>
      <c r="AC178" s="23" t="b">
        <f t="shared" si="51"/>
        <v>0</v>
      </c>
      <c r="AD178" s="23" t="b">
        <f t="shared" si="52"/>
        <v>0</v>
      </c>
      <c r="AE178" s="23" t="b">
        <f t="shared" si="53"/>
        <v>0</v>
      </c>
      <c r="AF178" s="23" t="b">
        <f t="shared" si="54"/>
        <v>0</v>
      </c>
      <c r="AG178" s="23" t="b">
        <f t="shared" si="55"/>
        <v>0</v>
      </c>
      <c r="AH178" s="23" t="b">
        <f t="shared" si="56"/>
        <v>0</v>
      </c>
      <c r="AI178" s="23" t="b">
        <f t="shared" si="57"/>
        <v>0</v>
      </c>
      <c r="AJ178" s="23" t="b">
        <v>0</v>
      </c>
      <c r="AK178" s="23" t="b">
        <f t="shared" si="58"/>
        <v>0</v>
      </c>
      <c r="AL178" s="23" t="b">
        <f t="shared" si="59"/>
        <v>1</v>
      </c>
      <c r="AM178" s="23" t="b">
        <f t="shared" si="60"/>
        <v>0</v>
      </c>
      <c r="AN178" s="23" t="b">
        <f t="shared" si="61"/>
        <v>0</v>
      </c>
      <c r="AO178" s="23" t="b">
        <f t="shared" si="62"/>
        <v>0</v>
      </c>
      <c r="AP178" s="23" t="b">
        <f t="shared" si="63"/>
        <v>0</v>
      </c>
      <c r="AQ178" s="23" t="b">
        <f t="shared" si="64"/>
        <v>0</v>
      </c>
      <c r="AR178" s="23" t="b">
        <f t="shared" si="65"/>
        <v>1</v>
      </c>
      <c r="AS178" s="23" t="b">
        <v>0</v>
      </c>
      <c r="AT178" s="23" t="b">
        <f t="shared" si="66"/>
        <v>0</v>
      </c>
      <c r="AU178" s="23" t="b">
        <f t="shared" si="67"/>
        <v>0</v>
      </c>
      <c r="AV178" s="23" t="b">
        <f t="shared" si="68"/>
        <v>0</v>
      </c>
      <c r="AW178" s="23" t="b">
        <f t="shared" si="69"/>
        <v>0</v>
      </c>
      <c r="AX178" s="23" t="s">
        <v>99</v>
      </c>
      <c r="AY178" s="23" t="b">
        <v>0</v>
      </c>
      <c r="AZ178" s="23" t="s">
        <v>105</v>
      </c>
    </row>
    <row r="179" spans="1:52" x14ac:dyDescent="0.2">
      <c r="A179" s="23">
        <v>226</v>
      </c>
      <c r="B179" s="23" t="s">
        <v>852</v>
      </c>
      <c r="C179" s="23" t="s">
        <v>907</v>
      </c>
      <c r="D179" s="23" t="b">
        <v>1</v>
      </c>
      <c r="E179" s="23" t="s">
        <v>908</v>
      </c>
      <c r="F179" s="23" t="s">
        <v>909</v>
      </c>
      <c r="G179" s="23" t="s">
        <v>92</v>
      </c>
      <c r="H179" s="23" t="s">
        <v>116</v>
      </c>
      <c r="I179" s="23" t="s">
        <v>910</v>
      </c>
      <c r="J179" s="23" t="s">
        <v>95</v>
      </c>
      <c r="K179" s="23" t="s">
        <v>118</v>
      </c>
      <c r="L179" s="23" t="s">
        <v>668</v>
      </c>
      <c r="M179" s="23" t="s">
        <v>905</v>
      </c>
      <c r="Q179" s="23">
        <v>2022</v>
      </c>
      <c r="R179" s="23" t="s">
        <v>119</v>
      </c>
      <c r="T179" s="23" t="s">
        <v>906</v>
      </c>
      <c r="U179" s="23" t="s">
        <v>244</v>
      </c>
      <c r="V179" s="23" t="s">
        <v>223</v>
      </c>
      <c r="W179" s="23" t="s">
        <v>121</v>
      </c>
      <c r="X179" s="23" t="s">
        <v>104</v>
      </c>
      <c r="Y179" s="23" t="b">
        <f t="shared" si="47"/>
        <v>0</v>
      </c>
      <c r="Z179" s="23" t="b">
        <f t="shared" si="48"/>
        <v>0</v>
      </c>
      <c r="AA179" s="23" t="b">
        <f t="shared" si="49"/>
        <v>0</v>
      </c>
      <c r="AB179" s="23" t="b">
        <f t="shared" si="50"/>
        <v>0</v>
      </c>
      <c r="AC179" s="23" t="b">
        <f t="shared" si="51"/>
        <v>0</v>
      </c>
      <c r="AD179" s="23" t="b">
        <f t="shared" si="52"/>
        <v>0</v>
      </c>
      <c r="AE179" s="23" t="b">
        <f t="shared" si="53"/>
        <v>0</v>
      </c>
      <c r="AF179" s="23" t="b">
        <f t="shared" si="54"/>
        <v>0</v>
      </c>
      <c r="AG179" s="23" t="b">
        <f t="shared" si="55"/>
        <v>0</v>
      </c>
      <c r="AH179" s="23" t="b">
        <f t="shared" si="56"/>
        <v>0</v>
      </c>
      <c r="AI179" s="23" t="b">
        <f t="shared" si="57"/>
        <v>0</v>
      </c>
      <c r="AJ179" s="23" t="b">
        <v>0</v>
      </c>
      <c r="AK179" s="23" t="b">
        <f t="shared" si="58"/>
        <v>0</v>
      </c>
      <c r="AL179" s="23" t="b">
        <f t="shared" si="59"/>
        <v>1</v>
      </c>
      <c r="AM179" s="23" t="b">
        <f t="shared" si="60"/>
        <v>0</v>
      </c>
      <c r="AN179" s="23" t="b">
        <f t="shared" si="61"/>
        <v>0</v>
      </c>
      <c r="AO179" s="23" t="b">
        <f t="shared" si="62"/>
        <v>0</v>
      </c>
      <c r="AP179" s="23" t="b">
        <f t="shared" si="63"/>
        <v>0</v>
      </c>
      <c r="AQ179" s="23" t="b">
        <f t="shared" si="64"/>
        <v>0</v>
      </c>
      <c r="AR179" s="23" t="b">
        <f t="shared" si="65"/>
        <v>1</v>
      </c>
      <c r="AS179" s="23" t="b">
        <v>0</v>
      </c>
      <c r="AT179" s="23" t="b">
        <f t="shared" si="66"/>
        <v>0</v>
      </c>
      <c r="AU179" s="23" t="b">
        <f t="shared" si="67"/>
        <v>0</v>
      </c>
      <c r="AV179" s="23" t="b">
        <f t="shared" si="68"/>
        <v>0</v>
      </c>
      <c r="AW179" s="23" t="b">
        <f t="shared" si="69"/>
        <v>0</v>
      </c>
      <c r="AX179" s="23" t="s">
        <v>99</v>
      </c>
      <c r="AY179" s="23" t="b">
        <v>0</v>
      </c>
      <c r="AZ179" s="23" t="s">
        <v>105</v>
      </c>
    </row>
    <row r="180" spans="1:52" x14ac:dyDescent="0.2">
      <c r="A180" s="23">
        <v>227</v>
      </c>
      <c r="B180" s="23" t="s">
        <v>852</v>
      </c>
      <c r="C180" s="23" t="s">
        <v>911</v>
      </c>
      <c r="D180" s="23" t="b">
        <v>1</v>
      </c>
      <c r="E180" s="23" t="s">
        <v>912</v>
      </c>
      <c r="F180" s="23" t="s">
        <v>913</v>
      </c>
      <c r="G180" s="23" t="s">
        <v>92</v>
      </c>
      <c r="H180" s="23" t="s">
        <v>116</v>
      </c>
      <c r="I180" s="23" t="s">
        <v>914</v>
      </c>
      <c r="J180" s="23" t="s">
        <v>95</v>
      </c>
      <c r="K180" s="23" t="s">
        <v>118</v>
      </c>
      <c r="L180" s="23" t="s">
        <v>286</v>
      </c>
      <c r="M180" s="23" t="s">
        <v>915</v>
      </c>
      <c r="Q180" s="23">
        <v>2022</v>
      </c>
      <c r="R180" s="23" t="s">
        <v>119</v>
      </c>
      <c r="T180" s="23" t="s">
        <v>906</v>
      </c>
      <c r="U180" s="23" t="s">
        <v>244</v>
      </c>
      <c r="V180" s="23" t="s">
        <v>223</v>
      </c>
      <c r="W180" s="23" t="s">
        <v>121</v>
      </c>
      <c r="X180" s="23" t="s">
        <v>104</v>
      </c>
      <c r="Y180" s="23" t="b">
        <f t="shared" si="47"/>
        <v>0</v>
      </c>
      <c r="Z180" s="23" t="b">
        <f t="shared" si="48"/>
        <v>0</v>
      </c>
      <c r="AA180" s="23" t="b">
        <f t="shared" si="49"/>
        <v>0</v>
      </c>
      <c r="AB180" s="23" t="b">
        <f t="shared" si="50"/>
        <v>0</v>
      </c>
      <c r="AC180" s="23" t="b">
        <f t="shared" si="51"/>
        <v>0</v>
      </c>
      <c r="AD180" s="23" t="b">
        <f t="shared" si="52"/>
        <v>0</v>
      </c>
      <c r="AE180" s="23" t="b">
        <f t="shared" si="53"/>
        <v>0</v>
      </c>
      <c r="AF180" s="23" t="b">
        <f t="shared" si="54"/>
        <v>0</v>
      </c>
      <c r="AG180" s="23" t="b">
        <f t="shared" si="55"/>
        <v>0</v>
      </c>
      <c r="AH180" s="23" t="b">
        <f t="shared" si="56"/>
        <v>1</v>
      </c>
      <c r="AI180" s="23" t="b">
        <f t="shared" si="57"/>
        <v>0</v>
      </c>
      <c r="AJ180" s="23" t="b">
        <v>0</v>
      </c>
      <c r="AK180" s="23" t="b">
        <f t="shared" si="58"/>
        <v>0</v>
      </c>
      <c r="AL180" s="23" t="b">
        <f t="shared" si="59"/>
        <v>0</v>
      </c>
      <c r="AM180" s="23" t="b">
        <f t="shared" si="60"/>
        <v>0</v>
      </c>
      <c r="AN180" s="23" t="b">
        <f t="shared" si="61"/>
        <v>0</v>
      </c>
      <c r="AO180" s="23" t="b">
        <f t="shared" si="62"/>
        <v>0</v>
      </c>
      <c r="AP180" s="23" t="b">
        <f t="shared" si="63"/>
        <v>0</v>
      </c>
      <c r="AQ180" s="23" t="b">
        <f t="shared" si="64"/>
        <v>1</v>
      </c>
      <c r="AR180" s="23" t="b">
        <f t="shared" si="65"/>
        <v>0</v>
      </c>
      <c r="AS180" s="23" t="b">
        <v>0</v>
      </c>
      <c r="AT180" s="23" t="b">
        <f t="shared" si="66"/>
        <v>0</v>
      </c>
      <c r="AU180" s="23" t="b">
        <f t="shared" si="67"/>
        <v>0</v>
      </c>
      <c r="AV180" s="23" t="b">
        <f t="shared" si="68"/>
        <v>0</v>
      </c>
      <c r="AW180" s="23" t="b">
        <f t="shared" si="69"/>
        <v>0</v>
      </c>
      <c r="AX180" s="23" t="s">
        <v>99</v>
      </c>
      <c r="AY180" s="23" t="b">
        <v>0</v>
      </c>
      <c r="AZ180" s="23" t="s">
        <v>105</v>
      </c>
    </row>
    <row r="181" spans="1:52" x14ac:dyDescent="0.2">
      <c r="A181" s="23">
        <v>228</v>
      </c>
      <c r="B181" s="23" t="s">
        <v>852</v>
      </c>
      <c r="C181" s="23" t="s">
        <v>916</v>
      </c>
      <c r="D181" s="23" t="b">
        <v>1</v>
      </c>
      <c r="E181" s="23" t="s">
        <v>917</v>
      </c>
      <c r="F181" s="23" t="s">
        <v>918</v>
      </c>
      <c r="G181" s="23" t="s">
        <v>92</v>
      </c>
      <c r="H181" s="23" t="s">
        <v>93</v>
      </c>
      <c r="I181" s="23" t="s">
        <v>919</v>
      </c>
      <c r="J181" s="23" t="s">
        <v>920</v>
      </c>
      <c r="K181" s="23" t="s">
        <v>96</v>
      </c>
      <c r="L181" s="23" t="s">
        <v>97</v>
      </c>
      <c r="Q181" s="23">
        <v>2007</v>
      </c>
      <c r="R181" s="23" t="s">
        <v>132</v>
      </c>
      <c r="T181" s="23" t="s">
        <v>207</v>
      </c>
      <c r="U181" s="23" t="s">
        <v>111</v>
      </c>
      <c r="V181" s="23" t="s">
        <v>112</v>
      </c>
      <c r="W181" s="23" t="s">
        <v>103</v>
      </c>
      <c r="X181" s="23" t="s">
        <v>104</v>
      </c>
      <c r="Y181" s="23" t="b">
        <f t="shared" si="47"/>
        <v>0</v>
      </c>
      <c r="Z181" s="23" t="b">
        <f t="shared" si="48"/>
        <v>0</v>
      </c>
      <c r="AA181" s="23" t="b">
        <f t="shared" si="49"/>
        <v>0</v>
      </c>
      <c r="AB181" s="23" t="b">
        <f t="shared" si="50"/>
        <v>0</v>
      </c>
      <c r="AC181" s="23" t="b">
        <f t="shared" si="51"/>
        <v>0</v>
      </c>
      <c r="AD181" s="23" t="b">
        <f t="shared" si="52"/>
        <v>0</v>
      </c>
      <c r="AE181" s="23" t="b">
        <f t="shared" si="53"/>
        <v>0</v>
      </c>
      <c r="AF181" s="23" t="b">
        <f t="shared" si="54"/>
        <v>0</v>
      </c>
      <c r="AG181" s="23" t="b">
        <f t="shared" si="55"/>
        <v>0</v>
      </c>
      <c r="AH181" s="23" t="b">
        <f t="shared" si="56"/>
        <v>0</v>
      </c>
      <c r="AI181" s="23" t="b">
        <f t="shared" si="57"/>
        <v>0</v>
      </c>
      <c r="AJ181" s="23" t="b">
        <v>0</v>
      </c>
      <c r="AK181" s="23" t="b">
        <f t="shared" si="58"/>
        <v>0</v>
      </c>
      <c r="AL181" s="23" t="b">
        <f t="shared" si="59"/>
        <v>0</v>
      </c>
      <c r="AM181" s="23" t="b">
        <f t="shared" si="60"/>
        <v>0</v>
      </c>
      <c r="AN181" s="23" t="b">
        <f t="shared" si="61"/>
        <v>0</v>
      </c>
      <c r="AO181" s="23" t="b">
        <f t="shared" si="62"/>
        <v>0</v>
      </c>
      <c r="AP181" s="23" t="b">
        <f t="shared" si="63"/>
        <v>1</v>
      </c>
      <c r="AQ181" s="23" t="b">
        <f t="shared" si="64"/>
        <v>0</v>
      </c>
      <c r="AR181" s="23" t="b">
        <f t="shared" si="65"/>
        <v>0</v>
      </c>
      <c r="AS181" s="23" t="b">
        <v>0</v>
      </c>
      <c r="AT181" s="23" t="b">
        <f t="shared" si="66"/>
        <v>0</v>
      </c>
      <c r="AU181" s="23" t="b">
        <f t="shared" si="67"/>
        <v>0</v>
      </c>
      <c r="AV181" s="23" t="b">
        <f t="shared" si="68"/>
        <v>0</v>
      </c>
      <c r="AW181" s="23" t="b">
        <f t="shared" si="69"/>
        <v>0</v>
      </c>
      <c r="AX181" s="23" t="s">
        <v>132</v>
      </c>
      <c r="AY181" s="23" t="b">
        <v>0</v>
      </c>
      <c r="AZ181" s="23" t="s">
        <v>105</v>
      </c>
    </row>
    <row r="182" spans="1:52" x14ac:dyDescent="0.2">
      <c r="A182" s="23">
        <v>229</v>
      </c>
      <c r="B182" s="23" t="s">
        <v>852</v>
      </c>
      <c r="C182" s="23" t="s">
        <v>921</v>
      </c>
      <c r="D182" s="23" t="b">
        <v>1</v>
      </c>
      <c r="E182" s="23" t="s">
        <v>922</v>
      </c>
      <c r="F182" s="23" t="s">
        <v>923</v>
      </c>
      <c r="G182" s="23" t="s">
        <v>92</v>
      </c>
      <c r="H182" s="23" t="s">
        <v>93</v>
      </c>
      <c r="I182" s="23" t="s">
        <v>924</v>
      </c>
      <c r="J182" s="23" t="s">
        <v>95</v>
      </c>
      <c r="K182" s="23" t="s">
        <v>96</v>
      </c>
      <c r="Q182" s="23">
        <v>2001</v>
      </c>
      <c r="R182" s="23" t="s">
        <v>119</v>
      </c>
      <c r="T182" s="23" t="s">
        <v>100</v>
      </c>
      <c r="U182" s="23" t="s">
        <v>101</v>
      </c>
      <c r="V182" s="23" t="s">
        <v>102</v>
      </c>
      <c r="W182" s="23" t="s">
        <v>103</v>
      </c>
      <c r="X182" s="23" t="s">
        <v>104</v>
      </c>
      <c r="Y182" s="23" t="b">
        <f t="shared" si="47"/>
        <v>0</v>
      </c>
      <c r="Z182" s="23" t="b">
        <f t="shared" si="48"/>
        <v>0</v>
      </c>
      <c r="AA182" s="23" t="b">
        <f t="shared" si="49"/>
        <v>0</v>
      </c>
      <c r="AB182" s="23" t="b">
        <f t="shared" si="50"/>
        <v>0</v>
      </c>
      <c r="AC182" s="23" t="b">
        <f t="shared" si="51"/>
        <v>0</v>
      </c>
      <c r="AD182" s="23" t="b">
        <f t="shared" si="52"/>
        <v>0</v>
      </c>
      <c r="AE182" s="23" t="b">
        <f t="shared" si="53"/>
        <v>0</v>
      </c>
      <c r="AF182" s="23" t="b">
        <f t="shared" si="54"/>
        <v>0</v>
      </c>
      <c r="AG182" s="23" t="b">
        <f t="shared" si="55"/>
        <v>0</v>
      </c>
      <c r="AH182" s="23" t="b">
        <f t="shared" si="56"/>
        <v>0</v>
      </c>
      <c r="AI182" s="23" t="b">
        <f t="shared" si="57"/>
        <v>0</v>
      </c>
      <c r="AJ182" s="23" t="b">
        <v>1</v>
      </c>
      <c r="AK182" s="23" t="b">
        <f t="shared" si="58"/>
        <v>0</v>
      </c>
      <c r="AL182" s="23" t="b">
        <f t="shared" si="59"/>
        <v>0</v>
      </c>
      <c r="AM182" s="23" t="b">
        <f t="shared" si="60"/>
        <v>0</v>
      </c>
      <c r="AN182" s="23" t="b">
        <f t="shared" si="61"/>
        <v>0</v>
      </c>
      <c r="AO182" s="23" t="b">
        <f t="shared" si="62"/>
        <v>0</v>
      </c>
      <c r="AP182" s="23" t="b">
        <f t="shared" si="63"/>
        <v>0</v>
      </c>
      <c r="AQ182" s="23" t="b">
        <f t="shared" si="64"/>
        <v>0</v>
      </c>
      <c r="AR182" s="23" t="b">
        <f t="shared" si="65"/>
        <v>0</v>
      </c>
      <c r="AS182" s="23" t="b">
        <v>1</v>
      </c>
      <c r="AT182" s="23" t="b">
        <f t="shared" si="66"/>
        <v>0</v>
      </c>
      <c r="AU182" s="23" t="b">
        <f t="shared" si="67"/>
        <v>0</v>
      </c>
      <c r="AV182" s="23" t="b">
        <f t="shared" si="68"/>
        <v>0</v>
      </c>
      <c r="AW182" s="23" t="b">
        <f t="shared" si="69"/>
        <v>0</v>
      </c>
      <c r="AX182" s="23" t="s">
        <v>99</v>
      </c>
      <c r="AY182" s="23" t="b">
        <v>0</v>
      </c>
      <c r="AZ182" s="23" t="s">
        <v>105</v>
      </c>
    </row>
    <row r="183" spans="1:52" x14ac:dyDescent="0.2">
      <c r="A183" s="23">
        <v>230</v>
      </c>
      <c r="B183" s="23" t="s">
        <v>852</v>
      </c>
      <c r="C183" s="23" t="s">
        <v>925</v>
      </c>
      <c r="D183" s="23" t="b">
        <v>1</v>
      </c>
      <c r="E183" s="23" t="s">
        <v>926</v>
      </c>
      <c r="F183" s="23" t="s">
        <v>927</v>
      </c>
      <c r="G183" s="23" t="s">
        <v>92</v>
      </c>
      <c r="H183" s="23" t="s">
        <v>116</v>
      </c>
      <c r="I183" s="23" t="s">
        <v>928</v>
      </c>
      <c r="J183" s="23" t="s">
        <v>95</v>
      </c>
      <c r="K183" s="23" t="s">
        <v>118</v>
      </c>
      <c r="Q183" s="23">
        <v>2022</v>
      </c>
      <c r="R183" s="23" t="s">
        <v>119</v>
      </c>
      <c r="T183" s="23" t="s">
        <v>243</v>
      </c>
      <c r="U183" s="23" t="s">
        <v>244</v>
      </c>
      <c r="V183" s="23" t="s">
        <v>223</v>
      </c>
      <c r="W183" s="23" t="s">
        <v>121</v>
      </c>
      <c r="X183" s="23" t="s">
        <v>104</v>
      </c>
      <c r="Y183" s="23" t="b">
        <f t="shared" si="47"/>
        <v>0</v>
      </c>
      <c r="Z183" s="23" t="b">
        <f t="shared" si="48"/>
        <v>0</v>
      </c>
      <c r="AA183" s="23" t="b">
        <f t="shared" si="49"/>
        <v>0</v>
      </c>
      <c r="AB183" s="23" t="b">
        <f t="shared" si="50"/>
        <v>0</v>
      </c>
      <c r="AC183" s="23" t="b">
        <f t="shared" si="51"/>
        <v>0</v>
      </c>
      <c r="AD183" s="23" t="b">
        <f t="shared" si="52"/>
        <v>0</v>
      </c>
      <c r="AE183" s="23" t="b">
        <f t="shared" si="53"/>
        <v>0</v>
      </c>
      <c r="AF183" s="23" t="b">
        <f t="shared" si="54"/>
        <v>0</v>
      </c>
      <c r="AG183" s="23" t="b">
        <f t="shared" si="55"/>
        <v>0</v>
      </c>
      <c r="AH183" s="23" t="b">
        <f t="shared" si="56"/>
        <v>0</v>
      </c>
      <c r="AI183" s="23" t="b">
        <f t="shared" si="57"/>
        <v>0</v>
      </c>
      <c r="AJ183" s="23" t="b">
        <v>1</v>
      </c>
      <c r="AK183" s="23" t="b">
        <f t="shared" si="58"/>
        <v>0</v>
      </c>
      <c r="AL183" s="23" t="b">
        <f t="shared" si="59"/>
        <v>0</v>
      </c>
      <c r="AM183" s="23" t="b">
        <f t="shared" si="60"/>
        <v>0</v>
      </c>
      <c r="AN183" s="23" t="b">
        <f t="shared" si="61"/>
        <v>0</v>
      </c>
      <c r="AO183" s="23" t="b">
        <f t="shared" si="62"/>
        <v>0</v>
      </c>
      <c r="AP183" s="23" t="b">
        <f t="shared" si="63"/>
        <v>0</v>
      </c>
      <c r="AQ183" s="23" t="b">
        <f t="shared" si="64"/>
        <v>0</v>
      </c>
      <c r="AR183" s="23" t="b">
        <f t="shared" si="65"/>
        <v>0</v>
      </c>
      <c r="AS183" s="23" t="b">
        <v>1</v>
      </c>
      <c r="AT183" s="23" t="b">
        <f t="shared" si="66"/>
        <v>0</v>
      </c>
      <c r="AU183" s="23" t="b">
        <f t="shared" si="67"/>
        <v>0</v>
      </c>
      <c r="AV183" s="23" t="b">
        <f t="shared" si="68"/>
        <v>0</v>
      </c>
      <c r="AW183" s="23" t="b">
        <f t="shared" si="69"/>
        <v>0</v>
      </c>
      <c r="AX183" s="23" t="s">
        <v>99</v>
      </c>
      <c r="AY183" s="23" t="b">
        <v>0</v>
      </c>
      <c r="AZ183" s="23" t="s">
        <v>105</v>
      </c>
    </row>
    <row r="184" spans="1:52" x14ac:dyDescent="0.2">
      <c r="A184" s="23">
        <v>231</v>
      </c>
      <c r="B184" s="23" t="s">
        <v>852</v>
      </c>
      <c r="C184" s="23" t="s">
        <v>929</v>
      </c>
      <c r="D184" s="23" t="b">
        <v>1</v>
      </c>
      <c r="E184" s="23" t="s">
        <v>930</v>
      </c>
      <c r="F184" s="23" t="s">
        <v>931</v>
      </c>
      <c r="G184" s="23" t="s">
        <v>92</v>
      </c>
      <c r="H184" s="23" t="s">
        <v>116</v>
      </c>
      <c r="I184" s="23" t="s">
        <v>932</v>
      </c>
      <c r="J184" s="23" t="s">
        <v>95</v>
      </c>
      <c r="K184" s="23" t="s">
        <v>118</v>
      </c>
      <c r="L184" s="23" t="s">
        <v>933</v>
      </c>
      <c r="Q184" s="23">
        <v>2022</v>
      </c>
      <c r="R184" s="23" t="s">
        <v>119</v>
      </c>
      <c r="T184" s="23" t="s">
        <v>934</v>
      </c>
      <c r="U184" s="23" t="s">
        <v>111</v>
      </c>
      <c r="V184" s="23" t="s">
        <v>112</v>
      </c>
      <c r="W184" s="23" t="s">
        <v>121</v>
      </c>
      <c r="X184" s="23" t="s">
        <v>104</v>
      </c>
      <c r="Y184" s="23" t="b">
        <f t="shared" si="47"/>
        <v>0</v>
      </c>
      <c r="Z184" s="23" t="b">
        <f t="shared" si="48"/>
        <v>0</v>
      </c>
      <c r="AA184" s="23" t="b">
        <f t="shared" si="49"/>
        <v>0</v>
      </c>
      <c r="AB184" s="23" t="b">
        <f t="shared" si="50"/>
        <v>0</v>
      </c>
      <c r="AC184" s="23" t="b">
        <f t="shared" si="51"/>
        <v>0</v>
      </c>
      <c r="AD184" s="23" t="b">
        <f t="shared" si="52"/>
        <v>0</v>
      </c>
      <c r="AE184" s="23" t="b">
        <f t="shared" si="53"/>
        <v>0</v>
      </c>
      <c r="AF184" s="23" t="b">
        <f t="shared" si="54"/>
        <v>0</v>
      </c>
      <c r="AG184" s="23" t="b">
        <f t="shared" si="55"/>
        <v>0</v>
      </c>
      <c r="AH184" s="23" t="b">
        <f t="shared" si="56"/>
        <v>0</v>
      </c>
      <c r="AI184" s="23" t="b">
        <f t="shared" si="57"/>
        <v>0</v>
      </c>
      <c r="AJ184" s="23" t="b">
        <v>0</v>
      </c>
      <c r="AK184" s="23" t="b">
        <f t="shared" si="58"/>
        <v>0</v>
      </c>
      <c r="AL184" s="23" t="b">
        <f t="shared" si="59"/>
        <v>0</v>
      </c>
      <c r="AM184" s="23" t="b">
        <f t="shared" si="60"/>
        <v>0</v>
      </c>
      <c r="AN184" s="23" t="b">
        <f t="shared" si="61"/>
        <v>0</v>
      </c>
      <c r="AO184" s="23" t="b">
        <f t="shared" si="62"/>
        <v>0</v>
      </c>
      <c r="AP184" s="23" t="b">
        <f t="shared" si="63"/>
        <v>1</v>
      </c>
      <c r="AQ184" s="23" t="b">
        <f t="shared" si="64"/>
        <v>0</v>
      </c>
      <c r="AR184" s="23" t="b">
        <f t="shared" si="65"/>
        <v>0</v>
      </c>
      <c r="AS184" s="23" t="b">
        <v>0</v>
      </c>
      <c r="AT184" s="23" t="b">
        <f t="shared" si="66"/>
        <v>1</v>
      </c>
      <c r="AU184" s="23" t="b">
        <f t="shared" si="67"/>
        <v>0</v>
      </c>
      <c r="AV184" s="23" t="b">
        <f t="shared" si="68"/>
        <v>0</v>
      </c>
      <c r="AW184" s="23" t="b">
        <f t="shared" si="69"/>
        <v>0</v>
      </c>
      <c r="AX184" s="23" t="s">
        <v>99</v>
      </c>
      <c r="AY184" s="23" t="b">
        <v>0</v>
      </c>
      <c r="AZ184" s="23" t="s">
        <v>105</v>
      </c>
    </row>
    <row r="185" spans="1:52" x14ac:dyDescent="0.2">
      <c r="A185" s="23">
        <v>232</v>
      </c>
      <c r="B185" s="23" t="s">
        <v>935</v>
      </c>
      <c r="C185" s="23" t="s">
        <v>936</v>
      </c>
      <c r="D185" s="23" t="b">
        <v>1</v>
      </c>
      <c r="E185" s="23" t="s">
        <v>937</v>
      </c>
      <c r="F185" s="23" t="s">
        <v>938</v>
      </c>
      <c r="G185" s="23" t="s">
        <v>92</v>
      </c>
      <c r="H185" s="23" t="s">
        <v>553</v>
      </c>
      <c r="J185" s="23" t="s">
        <v>95</v>
      </c>
      <c r="K185" s="23" t="s">
        <v>939</v>
      </c>
      <c r="L185" s="23" t="s">
        <v>668</v>
      </c>
      <c r="M185" s="23" t="s">
        <v>669</v>
      </c>
      <c r="R185" s="23" t="s">
        <v>555</v>
      </c>
      <c r="T185" s="23" t="s">
        <v>156</v>
      </c>
      <c r="U185" s="23" t="s">
        <v>111</v>
      </c>
      <c r="V185" s="23" t="s">
        <v>370</v>
      </c>
      <c r="W185" s="23" t="s">
        <v>121</v>
      </c>
      <c r="X185" s="23" t="s">
        <v>104</v>
      </c>
      <c r="Y185" s="23" t="b">
        <f t="shared" si="47"/>
        <v>0</v>
      </c>
      <c r="Z185" s="23" t="b">
        <f t="shared" si="48"/>
        <v>0</v>
      </c>
      <c r="AA185" s="23" t="b">
        <f t="shared" si="49"/>
        <v>0</v>
      </c>
      <c r="AB185" s="23" t="b">
        <f t="shared" si="50"/>
        <v>1</v>
      </c>
      <c r="AC185" s="23" t="b">
        <f t="shared" si="51"/>
        <v>0</v>
      </c>
      <c r="AD185" s="23" t="b">
        <f t="shared" si="52"/>
        <v>0</v>
      </c>
      <c r="AE185" s="23" t="b">
        <f t="shared" si="53"/>
        <v>0</v>
      </c>
      <c r="AF185" s="23" t="b">
        <f t="shared" si="54"/>
        <v>0</v>
      </c>
      <c r="AG185" s="23" t="b">
        <f t="shared" si="55"/>
        <v>0</v>
      </c>
      <c r="AH185" s="23" t="b">
        <f t="shared" si="56"/>
        <v>0</v>
      </c>
      <c r="AI185" s="23" t="b">
        <f t="shared" si="57"/>
        <v>0</v>
      </c>
      <c r="AJ185" s="23" t="b">
        <v>0</v>
      </c>
      <c r="AK185" s="23" t="b">
        <f t="shared" si="58"/>
        <v>0</v>
      </c>
      <c r="AL185" s="23" t="b">
        <f t="shared" si="59"/>
        <v>0</v>
      </c>
      <c r="AM185" s="23" t="b">
        <f t="shared" si="60"/>
        <v>0</v>
      </c>
      <c r="AN185" s="23" t="b">
        <f t="shared" si="61"/>
        <v>0</v>
      </c>
      <c r="AO185" s="23" t="b">
        <f t="shared" si="62"/>
        <v>0</v>
      </c>
      <c r="AP185" s="23" t="b">
        <f t="shared" si="63"/>
        <v>0</v>
      </c>
      <c r="AQ185" s="23" t="b">
        <f t="shared" si="64"/>
        <v>0</v>
      </c>
      <c r="AR185" s="23" t="b">
        <f t="shared" si="65"/>
        <v>1</v>
      </c>
      <c r="AS185" s="23" t="b">
        <v>0</v>
      </c>
      <c r="AT185" s="23" t="b">
        <f t="shared" si="66"/>
        <v>0</v>
      </c>
      <c r="AU185" s="23" t="b">
        <f t="shared" si="67"/>
        <v>0</v>
      </c>
      <c r="AV185" s="23" t="b">
        <f t="shared" si="68"/>
        <v>0</v>
      </c>
      <c r="AW185" s="23" t="b">
        <f t="shared" si="69"/>
        <v>0</v>
      </c>
      <c r="AX185" s="23" t="s">
        <v>555</v>
      </c>
      <c r="AY185" s="23" t="b">
        <v>0</v>
      </c>
      <c r="AZ185" s="23" t="s">
        <v>105</v>
      </c>
    </row>
    <row r="186" spans="1:52" x14ac:dyDescent="0.2">
      <c r="A186" s="23">
        <v>233</v>
      </c>
      <c r="B186" s="23" t="s">
        <v>935</v>
      </c>
      <c r="C186" s="23" t="s">
        <v>940</v>
      </c>
      <c r="D186" s="23" t="b">
        <v>1</v>
      </c>
      <c r="E186" s="23" t="s">
        <v>941</v>
      </c>
      <c r="F186" s="23" t="s">
        <v>942</v>
      </c>
      <c r="G186" s="23" t="s">
        <v>92</v>
      </c>
      <c r="H186" s="23" t="s">
        <v>943</v>
      </c>
      <c r="I186" s="23" t="s">
        <v>944</v>
      </c>
      <c r="J186" s="23" t="s">
        <v>945</v>
      </c>
      <c r="K186" s="23" t="s">
        <v>946</v>
      </c>
      <c r="L186" s="23" t="s">
        <v>668</v>
      </c>
      <c r="M186" s="23" t="s">
        <v>669</v>
      </c>
      <c r="P186" s="23">
        <v>2011</v>
      </c>
      <c r="Q186" s="23">
        <v>2011</v>
      </c>
      <c r="R186" s="23" t="s">
        <v>132</v>
      </c>
      <c r="T186" s="23" t="s">
        <v>947</v>
      </c>
      <c r="U186" s="23" t="s">
        <v>244</v>
      </c>
      <c r="V186" s="23" t="s">
        <v>223</v>
      </c>
      <c r="W186" s="23" t="s">
        <v>103</v>
      </c>
      <c r="X186" s="23" t="s">
        <v>104</v>
      </c>
      <c r="Y186" s="23" t="b">
        <f t="shared" si="47"/>
        <v>0</v>
      </c>
      <c r="Z186" s="23" t="b">
        <f t="shared" si="48"/>
        <v>0</v>
      </c>
      <c r="AA186" s="23" t="b">
        <f t="shared" si="49"/>
        <v>0</v>
      </c>
      <c r="AB186" s="23" t="b">
        <f t="shared" si="50"/>
        <v>1</v>
      </c>
      <c r="AC186" s="23" t="b">
        <f t="shared" si="51"/>
        <v>0</v>
      </c>
      <c r="AD186" s="23" t="b">
        <f t="shared" si="52"/>
        <v>0</v>
      </c>
      <c r="AE186" s="23" t="b">
        <f t="shared" si="53"/>
        <v>0</v>
      </c>
      <c r="AF186" s="23" t="b">
        <f t="shared" si="54"/>
        <v>0</v>
      </c>
      <c r="AG186" s="23" t="b">
        <f t="shared" si="55"/>
        <v>0</v>
      </c>
      <c r="AH186" s="23" t="b">
        <f t="shared" si="56"/>
        <v>0</v>
      </c>
      <c r="AI186" s="23" t="b">
        <f t="shared" si="57"/>
        <v>0</v>
      </c>
      <c r="AJ186" s="23" t="b">
        <v>0</v>
      </c>
      <c r="AK186" s="23" t="b">
        <f t="shared" si="58"/>
        <v>0</v>
      </c>
      <c r="AL186" s="23" t="b">
        <f t="shared" si="59"/>
        <v>0</v>
      </c>
      <c r="AM186" s="23" t="b">
        <f t="shared" si="60"/>
        <v>0</v>
      </c>
      <c r="AN186" s="23" t="b">
        <f t="shared" si="61"/>
        <v>0</v>
      </c>
      <c r="AO186" s="23" t="b">
        <f t="shared" si="62"/>
        <v>0</v>
      </c>
      <c r="AP186" s="23" t="b">
        <f t="shared" si="63"/>
        <v>0</v>
      </c>
      <c r="AQ186" s="23" t="b">
        <f t="shared" si="64"/>
        <v>0</v>
      </c>
      <c r="AR186" s="23" t="b">
        <f t="shared" si="65"/>
        <v>1</v>
      </c>
      <c r="AS186" s="23" t="b">
        <v>0</v>
      </c>
      <c r="AT186" s="23" t="b">
        <f t="shared" si="66"/>
        <v>0</v>
      </c>
      <c r="AU186" s="23" t="b">
        <f t="shared" si="67"/>
        <v>0</v>
      </c>
      <c r="AV186" s="23" t="b">
        <f t="shared" si="68"/>
        <v>0</v>
      </c>
      <c r="AW186" s="23" t="b">
        <f t="shared" si="69"/>
        <v>0</v>
      </c>
      <c r="AX186" s="23" t="s">
        <v>132</v>
      </c>
      <c r="AY186" s="23" t="b">
        <v>0</v>
      </c>
      <c r="AZ186" s="23" t="s">
        <v>105</v>
      </c>
    </row>
    <row r="187" spans="1:52" x14ac:dyDescent="0.2">
      <c r="A187" s="23">
        <v>234</v>
      </c>
      <c r="B187" s="23" t="s">
        <v>935</v>
      </c>
      <c r="C187" s="23" t="s">
        <v>948</v>
      </c>
      <c r="D187" s="23" t="b">
        <v>1</v>
      </c>
      <c r="E187" s="23" t="s">
        <v>949</v>
      </c>
      <c r="F187" s="23" t="s">
        <v>950</v>
      </c>
      <c r="G187" s="23" t="s">
        <v>92</v>
      </c>
      <c r="H187" s="23" t="s">
        <v>943</v>
      </c>
      <c r="I187" s="23" t="s">
        <v>951</v>
      </c>
      <c r="J187" s="23" t="s">
        <v>945</v>
      </c>
      <c r="K187" s="23" t="s">
        <v>946</v>
      </c>
      <c r="L187" s="23" t="s">
        <v>668</v>
      </c>
      <c r="M187" s="23" t="s">
        <v>669</v>
      </c>
      <c r="P187" s="23">
        <v>2011</v>
      </c>
      <c r="Q187" s="23">
        <v>2011</v>
      </c>
      <c r="R187" s="23" t="s">
        <v>132</v>
      </c>
      <c r="T187" s="23" t="s">
        <v>947</v>
      </c>
      <c r="U187" s="23" t="s">
        <v>244</v>
      </c>
      <c r="V187" s="23" t="s">
        <v>223</v>
      </c>
      <c r="W187" s="23" t="s">
        <v>103</v>
      </c>
      <c r="X187" s="23" t="s">
        <v>104</v>
      </c>
      <c r="Y187" s="23" t="b">
        <f t="shared" si="47"/>
        <v>0</v>
      </c>
      <c r="Z187" s="23" t="b">
        <f t="shared" si="48"/>
        <v>0</v>
      </c>
      <c r="AA187" s="23" t="b">
        <f t="shared" si="49"/>
        <v>0</v>
      </c>
      <c r="AB187" s="23" t="b">
        <f t="shared" si="50"/>
        <v>1</v>
      </c>
      <c r="AC187" s="23" t="b">
        <f t="shared" si="51"/>
        <v>0</v>
      </c>
      <c r="AD187" s="23" t="b">
        <f t="shared" si="52"/>
        <v>0</v>
      </c>
      <c r="AE187" s="23" t="b">
        <f t="shared" si="53"/>
        <v>0</v>
      </c>
      <c r="AF187" s="23" t="b">
        <f t="shared" si="54"/>
        <v>0</v>
      </c>
      <c r="AG187" s="23" t="b">
        <f t="shared" si="55"/>
        <v>0</v>
      </c>
      <c r="AH187" s="23" t="b">
        <f t="shared" si="56"/>
        <v>0</v>
      </c>
      <c r="AI187" s="23" t="b">
        <f t="shared" si="57"/>
        <v>0</v>
      </c>
      <c r="AJ187" s="23" t="b">
        <v>0</v>
      </c>
      <c r="AK187" s="23" t="b">
        <f t="shared" si="58"/>
        <v>0</v>
      </c>
      <c r="AL187" s="23" t="b">
        <f t="shared" si="59"/>
        <v>0</v>
      </c>
      <c r="AM187" s="23" t="b">
        <f t="shared" si="60"/>
        <v>0</v>
      </c>
      <c r="AN187" s="23" t="b">
        <f t="shared" si="61"/>
        <v>0</v>
      </c>
      <c r="AO187" s="23" t="b">
        <f t="shared" si="62"/>
        <v>0</v>
      </c>
      <c r="AP187" s="23" t="b">
        <f t="shared" si="63"/>
        <v>0</v>
      </c>
      <c r="AQ187" s="23" t="b">
        <f t="shared" si="64"/>
        <v>0</v>
      </c>
      <c r="AR187" s="23" t="b">
        <f t="shared" si="65"/>
        <v>1</v>
      </c>
      <c r="AS187" s="23" t="b">
        <v>0</v>
      </c>
      <c r="AT187" s="23" t="b">
        <f t="shared" si="66"/>
        <v>0</v>
      </c>
      <c r="AU187" s="23" t="b">
        <f t="shared" si="67"/>
        <v>0</v>
      </c>
      <c r="AV187" s="23" t="b">
        <f t="shared" si="68"/>
        <v>0</v>
      </c>
      <c r="AW187" s="23" t="b">
        <f t="shared" si="69"/>
        <v>0</v>
      </c>
      <c r="AX187" s="23" t="s">
        <v>132</v>
      </c>
      <c r="AY187" s="23" t="b">
        <v>0</v>
      </c>
      <c r="AZ187" s="23" t="s">
        <v>105</v>
      </c>
    </row>
    <row r="188" spans="1:52" x14ac:dyDescent="0.2">
      <c r="A188" s="23">
        <v>235</v>
      </c>
      <c r="B188" s="23" t="s">
        <v>935</v>
      </c>
      <c r="C188" s="23" t="s">
        <v>952</v>
      </c>
      <c r="D188" s="23" t="b">
        <v>1</v>
      </c>
      <c r="E188" s="23" t="s">
        <v>953</v>
      </c>
      <c r="F188" s="23" t="s">
        <v>954</v>
      </c>
      <c r="G188" s="23" t="s">
        <v>92</v>
      </c>
      <c r="H188" s="23" t="s">
        <v>553</v>
      </c>
      <c r="J188" s="23" t="s">
        <v>95</v>
      </c>
      <c r="K188" s="23" t="s">
        <v>939</v>
      </c>
      <c r="R188" s="23" t="s">
        <v>555</v>
      </c>
      <c r="T188" s="23" t="s">
        <v>156</v>
      </c>
      <c r="U188" s="23" t="s">
        <v>111</v>
      </c>
      <c r="V188" s="23" t="s">
        <v>370</v>
      </c>
      <c r="W188" s="23" t="s">
        <v>121</v>
      </c>
      <c r="X188" s="23" t="s">
        <v>104</v>
      </c>
      <c r="Y188" s="23" t="b">
        <f t="shared" si="47"/>
        <v>0</v>
      </c>
      <c r="Z188" s="23" t="b">
        <f t="shared" si="48"/>
        <v>0</v>
      </c>
      <c r="AA188" s="23" t="b">
        <f t="shared" si="49"/>
        <v>0</v>
      </c>
      <c r="AB188" s="23" t="b">
        <f t="shared" si="50"/>
        <v>0</v>
      </c>
      <c r="AC188" s="23" t="b">
        <f t="shared" si="51"/>
        <v>0</v>
      </c>
      <c r="AD188" s="23" t="b">
        <f t="shared" si="52"/>
        <v>0</v>
      </c>
      <c r="AE188" s="23" t="b">
        <f t="shared" si="53"/>
        <v>0</v>
      </c>
      <c r="AF188" s="23" t="b">
        <f t="shared" si="54"/>
        <v>0</v>
      </c>
      <c r="AG188" s="23" t="b">
        <f t="shared" si="55"/>
        <v>0</v>
      </c>
      <c r="AH188" s="23" t="b">
        <f t="shared" si="56"/>
        <v>0</v>
      </c>
      <c r="AI188" s="23" t="b">
        <f t="shared" si="57"/>
        <v>0</v>
      </c>
      <c r="AJ188" s="23" t="b">
        <v>1</v>
      </c>
      <c r="AK188" s="23" t="b">
        <f t="shared" si="58"/>
        <v>0</v>
      </c>
      <c r="AL188" s="23" t="b">
        <f t="shared" si="59"/>
        <v>0</v>
      </c>
      <c r="AM188" s="23" t="b">
        <f t="shared" si="60"/>
        <v>0</v>
      </c>
      <c r="AN188" s="23" t="b">
        <f t="shared" si="61"/>
        <v>0</v>
      </c>
      <c r="AO188" s="23" t="b">
        <f t="shared" si="62"/>
        <v>0</v>
      </c>
      <c r="AP188" s="23" t="b">
        <f t="shared" si="63"/>
        <v>0</v>
      </c>
      <c r="AQ188" s="23" t="b">
        <f t="shared" si="64"/>
        <v>0</v>
      </c>
      <c r="AR188" s="23" t="b">
        <f t="shared" si="65"/>
        <v>0</v>
      </c>
      <c r="AS188" s="23" t="b">
        <v>1</v>
      </c>
      <c r="AT188" s="23" t="b">
        <f t="shared" si="66"/>
        <v>0</v>
      </c>
      <c r="AU188" s="23" t="b">
        <f t="shared" si="67"/>
        <v>0</v>
      </c>
      <c r="AV188" s="23" t="b">
        <f t="shared" si="68"/>
        <v>0</v>
      </c>
      <c r="AW188" s="23" t="b">
        <f t="shared" si="69"/>
        <v>0</v>
      </c>
      <c r="AX188" s="23" t="s">
        <v>555</v>
      </c>
      <c r="AY188" s="23" t="b">
        <v>0</v>
      </c>
      <c r="AZ188" s="23" t="s">
        <v>105</v>
      </c>
    </row>
    <row r="189" spans="1:52" x14ac:dyDescent="0.2">
      <c r="A189" s="23">
        <v>236</v>
      </c>
      <c r="B189" s="23" t="s">
        <v>935</v>
      </c>
      <c r="C189" s="23" t="s">
        <v>955</v>
      </c>
      <c r="D189" s="23" t="b">
        <v>1</v>
      </c>
      <c r="E189" s="23" t="s">
        <v>956</v>
      </c>
      <c r="F189" s="23" t="s">
        <v>957</v>
      </c>
      <c r="G189" s="23" t="s">
        <v>92</v>
      </c>
      <c r="H189" s="23" t="s">
        <v>958</v>
      </c>
      <c r="J189" s="23" t="s">
        <v>959</v>
      </c>
      <c r="K189" s="23" t="s">
        <v>960</v>
      </c>
      <c r="Q189" s="23">
        <v>2024</v>
      </c>
      <c r="R189" s="23" t="s">
        <v>119</v>
      </c>
      <c r="T189" s="23" t="s">
        <v>188</v>
      </c>
      <c r="U189" s="23" t="s">
        <v>189</v>
      </c>
      <c r="V189" s="23" t="s">
        <v>190</v>
      </c>
      <c r="W189" s="23" t="s">
        <v>103</v>
      </c>
      <c r="X189" s="23" t="s">
        <v>104</v>
      </c>
      <c r="Y189" s="23" t="b">
        <f t="shared" si="47"/>
        <v>0</v>
      </c>
      <c r="Z189" s="23" t="b">
        <f t="shared" si="48"/>
        <v>0</v>
      </c>
      <c r="AA189" s="23" t="b">
        <f t="shared" si="49"/>
        <v>0</v>
      </c>
      <c r="AB189" s="23" t="b">
        <f t="shared" si="50"/>
        <v>0</v>
      </c>
      <c r="AC189" s="23" t="b">
        <f t="shared" si="51"/>
        <v>0</v>
      </c>
      <c r="AD189" s="23" t="b">
        <f t="shared" si="52"/>
        <v>0</v>
      </c>
      <c r="AE189" s="23" t="b">
        <f t="shared" si="53"/>
        <v>0</v>
      </c>
      <c r="AF189" s="23" t="b">
        <f t="shared" si="54"/>
        <v>0</v>
      </c>
      <c r="AG189" s="23" t="b">
        <f t="shared" si="55"/>
        <v>0</v>
      </c>
      <c r="AH189" s="23" t="b">
        <f t="shared" si="56"/>
        <v>0</v>
      </c>
      <c r="AI189" s="23" t="b">
        <f t="shared" si="57"/>
        <v>0</v>
      </c>
      <c r="AJ189" s="23" t="b">
        <v>1</v>
      </c>
      <c r="AK189" s="23" t="b">
        <f t="shared" si="58"/>
        <v>0</v>
      </c>
      <c r="AL189" s="23" t="b">
        <f t="shared" si="59"/>
        <v>0</v>
      </c>
      <c r="AM189" s="23" t="b">
        <f t="shared" si="60"/>
        <v>0</v>
      </c>
      <c r="AN189" s="23" t="b">
        <f t="shared" si="61"/>
        <v>0</v>
      </c>
      <c r="AO189" s="23" t="b">
        <f t="shared" si="62"/>
        <v>0</v>
      </c>
      <c r="AP189" s="23" t="b">
        <f t="shared" si="63"/>
        <v>0</v>
      </c>
      <c r="AQ189" s="23" t="b">
        <f t="shared" si="64"/>
        <v>0</v>
      </c>
      <c r="AR189" s="23" t="b">
        <f t="shared" si="65"/>
        <v>0</v>
      </c>
      <c r="AS189" s="23" t="b">
        <v>1</v>
      </c>
      <c r="AT189" s="23" t="b">
        <f t="shared" si="66"/>
        <v>0</v>
      </c>
      <c r="AU189" s="23" t="b">
        <f t="shared" si="67"/>
        <v>0</v>
      </c>
      <c r="AV189" s="23" t="b">
        <f t="shared" si="68"/>
        <v>0</v>
      </c>
      <c r="AW189" s="23" t="b">
        <f t="shared" si="69"/>
        <v>0</v>
      </c>
      <c r="AX189" s="23" t="s">
        <v>99</v>
      </c>
      <c r="AY189" s="23" t="b">
        <v>0</v>
      </c>
      <c r="AZ189" s="23" t="s">
        <v>105</v>
      </c>
    </row>
    <row r="190" spans="1:52" x14ac:dyDescent="0.2">
      <c r="A190" s="23">
        <v>237</v>
      </c>
      <c r="B190" s="23" t="s">
        <v>935</v>
      </c>
      <c r="C190" s="23" t="s">
        <v>961</v>
      </c>
      <c r="D190" s="23" t="b">
        <v>1</v>
      </c>
      <c r="E190" s="23" t="s">
        <v>962</v>
      </c>
      <c r="F190" s="23" t="s">
        <v>963</v>
      </c>
      <c r="G190" s="23" t="s">
        <v>92</v>
      </c>
      <c r="H190" s="23" t="s">
        <v>388</v>
      </c>
      <c r="J190" s="23" t="s">
        <v>240</v>
      </c>
      <c r="K190" s="23" t="s">
        <v>964</v>
      </c>
      <c r="Q190" s="23">
        <v>2018</v>
      </c>
      <c r="R190" s="23" t="s">
        <v>242</v>
      </c>
      <c r="T190" s="23" t="s">
        <v>146</v>
      </c>
      <c r="U190" s="23" t="s">
        <v>111</v>
      </c>
      <c r="V190" s="23" t="s">
        <v>112</v>
      </c>
      <c r="W190" s="23" t="s">
        <v>103</v>
      </c>
      <c r="X190" s="23" t="s">
        <v>104</v>
      </c>
      <c r="Y190" s="23" t="b">
        <f t="shared" si="47"/>
        <v>0</v>
      </c>
      <c r="Z190" s="23" t="b">
        <f t="shared" si="48"/>
        <v>0</v>
      </c>
      <c r="AA190" s="23" t="b">
        <f t="shared" si="49"/>
        <v>0</v>
      </c>
      <c r="AB190" s="23" t="b">
        <f t="shared" si="50"/>
        <v>0</v>
      </c>
      <c r="AC190" s="23" t="b">
        <f t="shared" si="51"/>
        <v>0</v>
      </c>
      <c r="AD190" s="23" t="b">
        <f t="shared" si="52"/>
        <v>0</v>
      </c>
      <c r="AE190" s="23" t="b">
        <f t="shared" si="53"/>
        <v>0</v>
      </c>
      <c r="AF190" s="23" t="b">
        <f t="shared" si="54"/>
        <v>0</v>
      </c>
      <c r="AG190" s="23" t="b">
        <f t="shared" si="55"/>
        <v>0</v>
      </c>
      <c r="AH190" s="23" t="b">
        <f t="shared" si="56"/>
        <v>0</v>
      </c>
      <c r="AI190" s="23" t="b">
        <f t="shared" si="57"/>
        <v>0</v>
      </c>
      <c r="AJ190" s="23" t="b">
        <v>1</v>
      </c>
      <c r="AK190" s="23" t="b">
        <f t="shared" si="58"/>
        <v>0</v>
      </c>
      <c r="AL190" s="23" t="b">
        <f t="shared" si="59"/>
        <v>0</v>
      </c>
      <c r="AM190" s="23" t="b">
        <f t="shared" si="60"/>
        <v>0</v>
      </c>
      <c r="AN190" s="23" t="b">
        <f t="shared" si="61"/>
        <v>0</v>
      </c>
      <c r="AO190" s="23" t="b">
        <f t="shared" si="62"/>
        <v>0</v>
      </c>
      <c r="AP190" s="23" t="b">
        <f t="shared" si="63"/>
        <v>0</v>
      </c>
      <c r="AQ190" s="23" t="b">
        <f t="shared" si="64"/>
        <v>0</v>
      </c>
      <c r="AR190" s="23" t="b">
        <f t="shared" si="65"/>
        <v>0</v>
      </c>
      <c r="AS190" s="23" t="b">
        <v>1</v>
      </c>
      <c r="AT190" s="23" t="b">
        <f t="shared" si="66"/>
        <v>0</v>
      </c>
      <c r="AU190" s="23" t="b">
        <f t="shared" si="67"/>
        <v>0</v>
      </c>
      <c r="AV190" s="23" t="b">
        <f t="shared" si="68"/>
        <v>0</v>
      </c>
      <c r="AW190" s="23" t="b">
        <f t="shared" si="69"/>
        <v>0</v>
      </c>
      <c r="AX190" s="23" t="s">
        <v>242</v>
      </c>
      <c r="AY190" s="23" t="b">
        <v>1</v>
      </c>
      <c r="AZ190" s="23" t="s">
        <v>105</v>
      </c>
    </row>
    <row r="191" spans="1:52" x14ac:dyDescent="0.2">
      <c r="A191" s="23">
        <v>238</v>
      </c>
      <c r="B191" s="23" t="s">
        <v>935</v>
      </c>
      <c r="C191" s="23" t="s">
        <v>965</v>
      </c>
      <c r="D191" s="23" t="b">
        <v>1</v>
      </c>
      <c r="E191" s="23" t="s">
        <v>966</v>
      </c>
      <c r="F191" s="23" t="s">
        <v>967</v>
      </c>
      <c r="G191" s="23" t="s">
        <v>92</v>
      </c>
      <c r="H191" s="23" t="s">
        <v>553</v>
      </c>
      <c r="J191" s="23" t="s">
        <v>95</v>
      </c>
      <c r="K191" s="23" t="s">
        <v>968</v>
      </c>
      <c r="Q191" s="23">
        <v>2022</v>
      </c>
      <c r="R191" s="23" t="s">
        <v>555</v>
      </c>
      <c r="T191" s="23" t="s">
        <v>156</v>
      </c>
      <c r="U191" s="23" t="s">
        <v>111</v>
      </c>
      <c r="V191" s="23" t="s">
        <v>370</v>
      </c>
      <c r="W191" s="23" t="s">
        <v>121</v>
      </c>
      <c r="X191" s="23" t="s">
        <v>104</v>
      </c>
      <c r="Y191" s="23" t="b">
        <f t="shared" si="47"/>
        <v>0</v>
      </c>
      <c r="Z191" s="23" t="b">
        <f t="shared" si="48"/>
        <v>0</v>
      </c>
      <c r="AA191" s="23" t="b">
        <f t="shared" si="49"/>
        <v>0</v>
      </c>
      <c r="AB191" s="23" t="b">
        <f t="shared" si="50"/>
        <v>0</v>
      </c>
      <c r="AC191" s="23" t="b">
        <f t="shared" si="51"/>
        <v>0</v>
      </c>
      <c r="AD191" s="23" t="b">
        <f t="shared" si="52"/>
        <v>0</v>
      </c>
      <c r="AE191" s="23" t="b">
        <f t="shared" si="53"/>
        <v>0</v>
      </c>
      <c r="AF191" s="23" t="b">
        <f t="shared" si="54"/>
        <v>0</v>
      </c>
      <c r="AG191" s="23" t="b">
        <f t="shared" si="55"/>
        <v>0</v>
      </c>
      <c r="AH191" s="23" t="b">
        <f t="shared" si="56"/>
        <v>0</v>
      </c>
      <c r="AI191" s="23" t="b">
        <f t="shared" si="57"/>
        <v>0</v>
      </c>
      <c r="AJ191" s="23" t="b">
        <v>1</v>
      </c>
      <c r="AK191" s="23" t="b">
        <f t="shared" si="58"/>
        <v>0</v>
      </c>
      <c r="AL191" s="23" t="b">
        <f t="shared" si="59"/>
        <v>0</v>
      </c>
      <c r="AM191" s="23" t="b">
        <f t="shared" si="60"/>
        <v>0</v>
      </c>
      <c r="AN191" s="23" t="b">
        <f t="shared" si="61"/>
        <v>0</v>
      </c>
      <c r="AO191" s="23" t="b">
        <f t="shared" si="62"/>
        <v>0</v>
      </c>
      <c r="AP191" s="23" t="b">
        <f t="shared" si="63"/>
        <v>0</v>
      </c>
      <c r="AQ191" s="23" t="b">
        <f t="shared" si="64"/>
        <v>0</v>
      </c>
      <c r="AR191" s="23" t="b">
        <f t="shared" si="65"/>
        <v>0</v>
      </c>
      <c r="AS191" s="23" t="b">
        <v>1</v>
      </c>
      <c r="AT191" s="23" t="b">
        <f t="shared" si="66"/>
        <v>0</v>
      </c>
      <c r="AU191" s="23" t="b">
        <f t="shared" si="67"/>
        <v>0</v>
      </c>
      <c r="AV191" s="23" t="b">
        <f t="shared" si="68"/>
        <v>0</v>
      </c>
      <c r="AW191" s="23" t="b">
        <f t="shared" si="69"/>
        <v>0</v>
      </c>
      <c r="AX191" s="23" t="s">
        <v>555</v>
      </c>
      <c r="AY191" s="23" t="b">
        <v>0</v>
      </c>
      <c r="AZ191" s="23" t="s">
        <v>105</v>
      </c>
    </row>
    <row r="192" spans="1:52" x14ac:dyDescent="0.2">
      <c r="A192" s="23">
        <v>239</v>
      </c>
      <c r="B192" s="23" t="s">
        <v>935</v>
      </c>
      <c r="C192" s="23" t="s">
        <v>969</v>
      </c>
      <c r="D192" s="23" t="b">
        <v>1</v>
      </c>
      <c r="E192" s="23" t="s">
        <v>970</v>
      </c>
      <c r="F192" s="23" t="s">
        <v>971</v>
      </c>
      <c r="G192" s="23" t="s">
        <v>92</v>
      </c>
      <c r="H192" s="23" t="s">
        <v>553</v>
      </c>
      <c r="J192" s="23" t="s">
        <v>95</v>
      </c>
      <c r="K192" s="23" t="s">
        <v>939</v>
      </c>
      <c r="R192" s="23" t="s">
        <v>555</v>
      </c>
      <c r="T192" s="23" t="s">
        <v>156</v>
      </c>
      <c r="U192" s="23" t="s">
        <v>111</v>
      </c>
      <c r="V192" s="23" t="s">
        <v>370</v>
      </c>
      <c r="W192" s="23" t="s">
        <v>121</v>
      </c>
      <c r="X192" s="23" t="s">
        <v>104</v>
      </c>
      <c r="Y192" s="23" t="b">
        <f t="shared" si="47"/>
        <v>0</v>
      </c>
      <c r="Z192" s="23" t="b">
        <f t="shared" si="48"/>
        <v>0</v>
      </c>
      <c r="AA192" s="23" t="b">
        <f t="shared" si="49"/>
        <v>0</v>
      </c>
      <c r="AB192" s="23" t="b">
        <f t="shared" si="50"/>
        <v>0</v>
      </c>
      <c r="AC192" s="23" t="b">
        <f t="shared" si="51"/>
        <v>0</v>
      </c>
      <c r="AD192" s="23" t="b">
        <f t="shared" si="52"/>
        <v>0</v>
      </c>
      <c r="AE192" s="23" t="b">
        <f t="shared" si="53"/>
        <v>0</v>
      </c>
      <c r="AF192" s="23" t="b">
        <f t="shared" si="54"/>
        <v>0</v>
      </c>
      <c r="AG192" s="23" t="b">
        <f t="shared" si="55"/>
        <v>0</v>
      </c>
      <c r="AH192" s="23" t="b">
        <f t="shared" si="56"/>
        <v>0</v>
      </c>
      <c r="AI192" s="23" t="b">
        <f t="shared" si="57"/>
        <v>0</v>
      </c>
      <c r="AJ192" s="23" t="b">
        <v>1</v>
      </c>
      <c r="AK192" s="23" t="b">
        <f t="shared" si="58"/>
        <v>0</v>
      </c>
      <c r="AL192" s="23" t="b">
        <f t="shared" si="59"/>
        <v>0</v>
      </c>
      <c r="AM192" s="23" t="b">
        <f t="shared" si="60"/>
        <v>0</v>
      </c>
      <c r="AN192" s="23" t="b">
        <f t="shared" si="61"/>
        <v>0</v>
      </c>
      <c r="AO192" s="23" t="b">
        <f t="shared" si="62"/>
        <v>0</v>
      </c>
      <c r="AP192" s="23" t="b">
        <f t="shared" si="63"/>
        <v>0</v>
      </c>
      <c r="AQ192" s="23" t="b">
        <f t="shared" si="64"/>
        <v>0</v>
      </c>
      <c r="AR192" s="23" t="b">
        <f t="shared" si="65"/>
        <v>0</v>
      </c>
      <c r="AS192" s="23" t="b">
        <v>1</v>
      </c>
      <c r="AT192" s="23" t="b">
        <f t="shared" si="66"/>
        <v>0</v>
      </c>
      <c r="AU192" s="23" t="b">
        <f t="shared" si="67"/>
        <v>0</v>
      </c>
      <c r="AV192" s="23" t="b">
        <f t="shared" si="68"/>
        <v>0</v>
      </c>
      <c r="AW192" s="23" t="b">
        <f t="shared" si="69"/>
        <v>0</v>
      </c>
      <c r="AX192" s="23" t="s">
        <v>555</v>
      </c>
      <c r="AY192" s="23" t="b">
        <v>0</v>
      </c>
      <c r="AZ192" s="23" t="s">
        <v>105</v>
      </c>
    </row>
    <row r="193" spans="1:52" x14ac:dyDescent="0.2">
      <c r="A193" s="23">
        <v>240</v>
      </c>
      <c r="B193" s="23" t="s">
        <v>935</v>
      </c>
      <c r="C193" s="23" t="s">
        <v>972</v>
      </c>
      <c r="D193" s="23" t="b">
        <v>1</v>
      </c>
      <c r="E193" s="23" t="s">
        <v>973</v>
      </c>
      <c r="F193" s="23" t="s">
        <v>974</v>
      </c>
      <c r="G193" s="23" t="s">
        <v>92</v>
      </c>
      <c r="H193" s="23" t="s">
        <v>553</v>
      </c>
      <c r="J193" s="23" t="s">
        <v>95</v>
      </c>
      <c r="K193" s="23" t="s">
        <v>939</v>
      </c>
      <c r="L193" s="23" t="s">
        <v>975</v>
      </c>
      <c r="R193" s="23" t="s">
        <v>555</v>
      </c>
      <c r="T193" s="23" t="s">
        <v>156</v>
      </c>
      <c r="U193" s="23" t="s">
        <v>111</v>
      </c>
      <c r="V193" s="23" t="s">
        <v>370</v>
      </c>
      <c r="W193" s="23" t="s">
        <v>121</v>
      </c>
      <c r="X193" s="23" t="s">
        <v>104</v>
      </c>
      <c r="Y193" s="23" t="b">
        <f t="shared" si="47"/>
        <v>0</v>
      </c>
      <c r="Z193" s="23" t="b">
        <f t="shared" si="48"/>
        <v>0</v>
      </c>
      <c r="AA193" s="23" t="b">
        <f t="shared" si="49"/>
        <v>0</v>
      </c>
      <c r="AB193" s="23" t="b">
        <f t="shared" si="50"/>
        <v>0</v>
      </c>
      <c r="AC193" s="23" t="b">
        <f t="shared" si="51"/>
        <v>0</v>
      </c>
      <c r="AD193" s="23" t="b">
        <f t="shared" si="52"/>
        <v>0</v>
      </c>
      <c r="AE193" s="23" t="b">
        <f t="shared" si="53"/>
        <v>0</v>
      </c>
      <c r="AF193" s="23" t="b">
        <f t="shared" si="54"/>
        <v>0</v>
      </c>
      <c r="AG193" s="23" t="b">
        <f t="shared" si="55"/>
        <v>0</v>
      </c>
      <c r="AH193" s="23" t="b">
        <f t="shared" si="56"/>
        <v>0</v>
      </c>
      <c r="AI193" s="23" t="b">
        <f t="shared" si="57"/>
        <v>0</v>
      </c>
      <c r="AJ193" s="23" t="b">
        <v>0</v>
      </c>
      <c r="AK193" s="23" t="b">
        <f t="shared" si="58"/>
        <v>0</v>
      </c>
      <c r="AL193" s="23" t="b">
        <f t="shared" si="59"/>
        <v>0</v>
      </c>
      <c r="AM193" s="23" t="b">
        <f t="shared" si="60"/>
        <v>0</v>
      </c>
      <c r="AN193" s="23" t="b">
        <f t="shared" si="61"/>
        <v>0</v>
      </c>
      <c r="AO193" s="23" t="b">
        <f t="shared" si="62"/>
        <v>0</v>
      </c>
      <c r="AP193" s="23" t="b">
        <f t="shared" si="63"/>
        <v>0</v>
      </c>
      <c r="AQ193" s="23" t="b">
        <f t="shared" si="64"/>
        <v>0</v>
      </c>
      <c r="AR193" s="23" t="b">
        <f t="shared" si="65"/>
        <v>1</v>
      </c>
      <c r="AS193" s="23" t="b">
        <v>0</v>
      </c>
      <c r="AT193" s="23" t="b">
        <f t="shared" si="66"/>
        <v>1</v>
      </c>
      <c r="AU193" s="23" t="b">
        <f t="shared" si="67"/>
        <v>0</v>
      </c>
      <c r="AV193" s="23" t="b">
        <f t="shared" si="68"/>
        <v>0</v>
      </c>
      <c r="AW193" s="23" t="b">
        <f t="shared" si="69"/>
        <v>0</v>
      </c>
      <c r="AX193" s="23" t="s">
        <v>555</v>
      </c>
      <c r="AY193" s="23" t="b">
        <v>0</v>
      </c>
      <c r="AZ193" s="23" t="s">
        <v>105</v>
      </c>
    </row>
    <row r="194" spans="1:52" x14ac:dyDescent="0.2">
      <c r="A194" s="23">
        <v>241</v>
      </c>
      <c r="B194" s="23" t="s">
        <v>935</v>
      </c>
      <c r="C194" s="23" t="s">
        <v>976</v>
      </c>
      <c r="D194" s="23" t="b">
        <v>1</v>
      </c>
      <c r="E194" s="23" t="s">
        <v>977</v>
      </c>
      <c r="F194" s="23" t="s">
        <v>978</v>
      </c>
      <c r="G194" s="23" t="s">
        <v>92</v>
      </c>
      <c r="H194" s="23" t="s">
        <v>553</v>
      </c>
      <c r="J194" s="23" t="s">
        <v>95</v>
      </c>
      <c r="K194" s="23" t="s">
        <v>939</v>
      </c>
      <c r="L194" s="23" t="s">
        <v>668</v>
      </c>
      <c r="R194" s="23" t="s">
        <v>555</v>
      </c>
      <c r="T194" s="23" t="s">
        <v>156</v>
      </c>
      <c r="U194" s="23" t="s">
        <v>111</v>
      </c>
      <c r="V194" s="23" t="s">
        <v>370</v>
      </c>
      <c r="W194" s="23" t="s">
        <v>121</v>
      </c>
      <c r="X194" s="23" t="s">
        <v>104</v>
      </c>
      <c r="Y194" s="23" t="b">
        <f t="shared" si="47"/>
        <v>0</v>
      </c>
      <c r="Z194" s="23" t="b">
        <f t="shared" si="48"/>
        <v>0</v>
      </c>
      <c r="AA194" s="23" t="b">
        <f t="shared" si="49"/>
        <v>0</v>
      </c>
      <c r="AB194" s="23" t="b">
        <f t="shared" si="50"/>
        <v>0</v>
      </c>
      <c r="AC194" s="23" t="b">
        <f t="shared" si="51"/>
        <v>0</v>
      </c>
      <c r="AD194" s="23" t="b">
        <f t="shared" si="52"/>
        <v>0</v>
      </c>
      <c r="AE194" s="23" t="b">
        <f t="shared" si="53"/>
        <v>0</v>
      </c>
      <c r="AF194" s="23" t="b">
        <f t="shared" si="54"/>
        <v>0</v>
      </c>
      <c r="AG194" s="23" t="b">
        <f t="shared" si="55"/>
        <v>0</v>
      </c>
      <c r="AH194" s="23" t="b">
        <f t="shared" si="56"/>
        <v>0</v>
      </c>
      <c r="AI194" s="23" t="b">
        <f t="shared" si="57"/>
        <v>0</v>
      </c>
      <c r="AJ194" s="23" t="b">
        <v>0</v>
      </c>
      <c r="AK194" s="23" t="b">
        <f t="shared" si="58"/>
        <v>0</v>
      </c>
      <c r="AL194" s="23" t="b">
        <f t="shared" si="59"/>
        <v>0</v>
      </c>
      <c r="AM194" s="23" t="b">
        <f t="shared" si="60"/>
        <v>0</v>
      </c>
      <c r="AN194" s="23" t="b">
        <f t="shared" si="61"/>
        <v>0</v>
      </c>
      <c r="AO194" s="23" t="b">
        <f t="shared" si="62"/>
        <v>0</v>
      </c>
      <c r="AP194" s="23" t="b">
        <f t="shared" si="63"/>
        <v>0</v>
      </c>
      <c r="AQ194" s="23" t="b">
        <f t="shared" si="64"/>
        <v>0</v>
      </c>
      <c r="AR194" s="23" t="b">
        <f t="shared" si="65"/>
        <v>1</v>
      </c>
      <c r="AS194" s="23" t="b">
        <v>0</v>
      </c>
      <c r="AT194" s="23" t="b">
        <f t="shared" si="66"/>
        <v>0</v>
      </c>
      <c r="AU194" s="23" t="b">
        <f t="shared" si="67"/>
        <v>0</v>
      </c>
      <c r="AV194" s="23" t="b">
        <f t="shared" si="68"/>
        <v>0</v>
      </c>
      <c r="AW194" s="23" t="b">
        <f t="shared" si="69"/>
        <v>0</v>
      </c>
      <c r="AX194" s="23" t="s">
        <v>555</v>
      </c>
      <c r="AY194" s="23" t="b">
        <v>0</v>
      </c>
      <c r="AZ194" s="23" t="s">
        <v>105</v>
      </c>
    </row>
    <row r="195" spans="1:52" x14ac:dyDescent="0.2">
      <c r="A195" s="23">
        <v>242</v>
      </c>
      <c r="B195" s="23" t="s">
        <v>935</v>
      </c>
      <c r="C195" s="23" t="s">
        <v>979</v>
      </c>
      <c r="D195" s="23" t="b">
        <v>1</v>
      </c>
      <c r="E195" s="23" t="s">
        <v>980</v>
      </c>
      <c r="F195" s="23" t="s">
        <v>981</v>
      </c>
      <c r="G195" s="23" t="s">
        <v>92</v>
      </c>
      <c r="H195" s="23" t="s">
        <v>553</v>
      </c>
      <c r="J195" s="23" t="s">
        <v>95</v>
      </c>
      <c r="K195" s="23" t="s">
        <v>939</v>
      </c>
      <c r="R195" s="23" t="s">
        <v>555</v>
      </c>
      <c r="T195" s="23" t="s">
        <v>156</v>
      </c>
      <c r="U195" s="23" t="s">
        <v>111</v>
      </c>
      <c r="V195" s="23" t="s">
        <v>370</v>
      </c>
      <c r="W195" s="23" t="s">
        <v>121</v>
      </c>
      <c r="X195" s="23" t="s">
        <v>104</v>
      </c>
      <c r="Y195" s="23" t="b">
        <f t="shared" ref="Y195:AN243" si="70">ISNUMBER(SEARCH("Public transport accessibility", $M195))</f>
        <v>0</v>
      </c>
      <c r="Z195" s="23" t="b">
        <f t="shared" ref="Z195:Z243" si="71">ISNUMBER(SEARCH("Coverage by cycling facilities", $M195))</f>
        <v>0</v>
      </c>
      <c r="AA195" s="23" t="b">
        <f t="shared" ref="AA195:AA243" si="72">ISNUMBER(SEARCH("Coverage of the drainage system", $M195))</f>
        <v>0</v>
      </c>
      <c r="AB195" s="23" t="b">
        <f t="shared" ref="AB195:AB243" si="73">ISNUMBER(SEARCH("Parking management", $M195))</f>
        <v>0</v>
      </c>
      <c r="AC195" s="23" t="b">
        <f t="shared" ref="AC195:AC243" si="74">ISNUMBER(SEARCH("Reduction of private vehicles", $M195))</f>
        <v>0</v>
      </c>
      <c r="AD195" s="23" t="b">
        <f t="shared" ref="AD195:AD243" si="75">ISNUMBER(SEARCH("Decline in accidents", $M195))</f>
        <v>0</v>
      </c>
      <c r="AE195" s="23" t="b">
        <f t="shared" ref="AE195:AE243" si="76">ISNUMBER(SEARCH("Walking and cycling", $M195))</f>
        <v>0</v>
      </c>
      <c r="AF195" s="23" t="b">
        <f t="shared" ref="AF195:AF243" si="77">ISNUMBER(SEARCH("Public transport ridershi", $M195))</f>
        <v>0</v>
      </c>
      <c r="AG195" s="23" t="b">
        <f t="shared" ref="AG195:AG243" si="78">ISNUMBER(SEARCH("Last-mile use of intermediate public transport", $M195))</f>
        <v>0</v>
      </c>
      <c r="AH195" s="23" t="b">
        <f t="shared" ref="AH195:AH243" si="79">ISNUMBER(SEARCH("Walkability", $M195))</f>
        <v>0</v>
      </c>
      <c r="AI195" s="23" t="b">
        <f t="shared" ref="AI195:AI243" si="80">ISNUMBER(SEARCH("Supply of public transport vehicles", $M195))</f>
        <v>0</v>
      </c>
      <c r="AJ195" s="23" t="b">
        <v>1</v>
      </c>
      <c r="AK195" s="23" t="b">
        <f t="shared" ref="AK195:AK243" si="81">ISNUMBER(SEARCH("Local traffic flow", $M195))</f>
        <v>0</v>
      </c>
      <c r="AL195" s="23" t="b">
        <f t="shared" ref="AL195:AL243" si="82">ISNUMBER(SEARCH("Organised road use", $M195))</f>
        <v>0</v>
      </c>
      <c r="AM195" s="23" t="b">
        <f t="shared" ref="AM195:AM243" si="83">ISNUMBER(SEARCH("Trained drivers", $M195))</f>
        <v>0</v>
      </c>
      <c r="AN195" s="23" t="b">
        <f t="shared" ref="AN195:AN243" si="84">ISNUMBER(SEARCH("Transport-related investment", $M195))</f>
        <v>0</v>
      </c>
      <c r="AO195" s="23" t="b">
        <f t="shared" ref="AO195:AO243" si="85">ISNUMBER(SEARCH("Motor vehicle traffic reduction", $M195))</f>
        <v>0</v>
      </c>
      <c r="AP195" s="23" t="b">
        <f t="shared" ref="AP195:AP243" si="86">ISNUMBER(SEARCH("public transport supply", $L195))</f>
        <v>0</v>
      </c>
      <c r="AQ195" s="23" t="b">
        <f t="shared" ref="AQ195:AQ243" si="87">ISNUMBER(SEARCH("safety and comfort", $L195))</f>
        <v>0</v>
      </c>
      <c r="AR195" s="23" t="b">
        <f t="shared" ref="AR195:AR243" si="88">ISNUMBER(SEARCH("effective enforcement", $L195))</f>
        <v>0</v>
      </c>
      <c r="AS195" s="23" t="b">
        <v>1</v>
      </c>
      <c r="AT195" s="23" t="b">
        <f t="shared" ref="AT195:AT243" si="89">ISNUMBER(SEARCH("sustainable mobility", $L195))</f>
        <v>0</v>
      </c>
      <c r="AU195" s="23" t="b">
        <f t="shared" ref="AU195:AU243" si="90">ISNUMBER(SEARCH("inclusive mobility", $L195))</f>
        <v>0</v>
      </c>
      <c r="AV195" s="23" t="b">
        <f t="shared" ref="AV195:AV243" si="91">ISNUMBER(SEARCH("health and safety", $L195))</f>
        <v>0</v>
      </c>
      <c r="AW195" s="23" t="b">
        <f t="shared" ref="AW195:AW243" si="92">ISNUMBER(SEARCH("sustainable transport funding", $L195))</f>
        <v>0</v>
      </c>
      <c r="AX195" s="23" t="s">
        <v>555</v>
      </c>
      <c r="AY195" s="23" t="b">
        <v>0</v>
      </c>
      <c r="AZ195" s="23" t="s">
        <v>105</v>
      </c>
    </row>
    <row r="196" spans="1:52" x14ac:dyDescent="0.2">
      <c r="A196" s="23">
        <v>243</v>
      </c>
      <c r="B196" s="23" t="s">
        <v>982</v>
      </c>
      <c r="C196" s="23" t="s">
        <v>983</v>
      </c>
      <c r="D196" s="23" t="b">
        <v>1</v>
      </c>
      <c r="E196" s="23" t="s">
        <v>984</v>
      </c>
      <c r="F196" s="23" t="s">
        <v>985</v>
      </c>
      <c r="G196" s="23" t="s">
        <v>92</v>
      </c>
      <c r="H196" s="23" t="s">
        <v>986</v>
      </c>
      <c r="J196" s="23" t="s">
        <v>987</v>
      </c>
      <c r="K196" s="23" t="s">
        <v>988</v>
      </c>
      <c r="L196" s="25" t="s">
        <v>1297</v>
      </c>
      <c r="M196" s="25" t="s">
        <v>1296</v>
      </c>
      <c r="P196" s="23">
        <v>2022</v>
      </c>
      <c r="Q196" s="23">
        <v>2023</v>
      </c>
      <c r="R196" s="23" t="s">
        <v>132</v>
      </c>
      <c r="S196" s="23" t="s">
        <v>989</v>
      </c>
      <c r="T196" s="23" t="s">
        <v>188</v>
      </c>
      <c r="U196" s="23" t="s">
        <v>189</v>
      </c>
      <c r="V196" s="23" t="s">
        <v>190</v>
      </c>
      <c r="W196" s="23" t="s">
        <v>103</v>
      </c>
      <c r="X196" s="23" t="s">
        <v>104</v>
      </c>
      <c r="Y196" s="23" t="b">
        <f t="shared" si="70"/>
        <v>0</v>
      </c>
      <c r="Z196" s="23" t="b">
        <f t="shared" si="71"/>
        <v>0</v>
      </c>
      <c r="AA196" s="23" t="b">
        <f t="shared" si="72"/>
        <v>0</v>
      </c>
      <c r="AB196" s="23" t="b">
        <f t="shared" si="73"/>
        <v>0</v>
      </c>
      <c r="AC196" s="23" t="b">
        <f t="shared" si="74"/>
        <v>1</v>
      </c>
      <c r="AD196" s="23" t="b">
        <f t="shared" si="75"/>
        <v>1</v>
      </c>
      <c r="AE196" s="23" t="b">
        <f t="shared" si="76"/>
        <v>0</v>
      </c>
      <c r="AF196" s="23" t="b">
        <f t="shared" si="77"/>
        <v>0</v>
      </c>
      <c r="AG196" s="23" t="b">
        <f t="shared" si="78"/>
        <v>0</v>
      </c>
      <c r="AH196" s="23" t="b">
        <f t="shared" si="79"/>
        <v>0</v>
      </c>
      <c r="AI196" s="23" t="b">
        <f t="shared" si="80"/>
        <v>0</v>
      </c>
      <c r="AJ196" s="23" t="b">
        <v>0</v>
      </c>
      <c r="AK196" s="23" t="b">
        <f t="shared" si="81"/>
        <v>0</v>
      </c>
      <c r="AL196" s="23" t="b">
        <f t="shared" si="82"/>
        <v>0</v>
      </c>
      <c r="AM196" s="23" t="b">
        <f t="shared" si="83"/>
        <v>0</v>
      </c>
      <c r="AN196" s="23" t="b">
        <f t="shared" si="84"/>
        <v>0</v>
      </c>
      <c r="AO196" s="23" t="b">
        <f t="shared" si="85"/>
        <v>1</v>
      </c>
      <c r="AP196" s="23" t="b">
        <f t="shared" si="86"/>
        <v>0</v>
      </c>
      <c r="AQ196" s="23" t="b">
        <f t="shared" si="87"/>
        <v>0</v>
      </c>
      <c r="AR196" s="23" t="b">
        <f t="shared" si="88"/>
        <v>0</v>
      </c>
      <c r="AS196" s="23" t="b">
        <v>0</v>
      </c>
      <c r="AT196" s="23" t="b">
        <f t="shared" si="89"/>
        <v>1</v>
      </c>
      <c r="AU196" s="23" t="b">
        <f t="shared" si="90"/>
        <v>0</v>
      </c>
      <c r="AV196" s="23" t="b">
        <f t="shared" si="91"/>
        <v>1</v>
      </c>
      <c r="AW196" s="23" t="b">
        <f t="shared" si="92"/>
        <v>0</v>
      </c>
      <c r="AX196" s="23" t="s">
        <v>132</v>
      </c>
      <c r="AY196" s="23" t="b">
        <v>0</v>
      </c>
      <c r="AZ196" s="23" t="s">
        <v>989</v>
      </c>
    </row>
    <row r="197" spans="1:52" x14ac:dyDescent="0.2">
      <c r="A197" s="23">
        <v>244</v>
      </c>
      <c r="B197" s="23" t="s">
        <v>982</v>
      </c>
      <c r="C197" s="23" t="s">
        <v>990</v>
      </c>
      <c r="D197" s="23" t="b">
        <v>1</v>
      </c>
      <c r="E197" s="23" t="s">
        <v>991</v>
      </c>
      <c r="F197" s="23" t="s">
        <v>992</v>
      </c>
      <c r="G197" s="23" t="s">
        <v>92</v>
      </c>
      <c r="H197" s="23" t="s">
        <v>468</v>
      </c>
      <c r="J197" s="23" t="s">
        <v>464</v>
      </c>
      <c r="K197" s="23" t="s">
        <v>471</v>
      </c>
      <c r="L197" s="25" t="s">
        <v>1297</v>
      </c>
      <c r="M197" s="25" t="s">
        <v>1296</v>
      </c>
      <c r="P197" s="23">
        <v>2020</v>
      </c>
      <c r="Q197" s="23">
        <v>2021</v>
      </c>
      <c r="R197" s="23" t="s">
        <v>132</v>
      </c>
      <c r="S197" s="23" t="s">
        <v>989</v>
      </c>
      <c r="T197" s="23" t="s">
        <v>188</v>
      </c>
      <c r="U197" s="23" t="s">
        <v>189</v>
      </c>
      <c r="V197" s="23" t="s">
        <v>190</v>
      </c>
      <c r="W197" s="23" t="s">
        <v>103</v>
      </c>
      <c r="X197" s="23" t="s">
        <v>104</v>
      </c>
      <c r="Y197" s="23" t="b">
        <f t="shared" si="70"/>
        <v>0</v>
      </c>
      <c r="Z197" s="23" t="b">
        <f t="shared" si="71"/>
        <v>0</v>
      </c>
      <c r="AA197" s="23" t="b">
        <f t="shared" si="72"/>
        <v>0</v>
      </c>
      <c r="AB197" s="23" t="b">
        <f t="shared" si="73"/>
        <v>0</v>
      </c>
      <c r="AC197" s="23" t="b">
        <f t="shared" si="74"/>
        <v>1</v>
      </c>
      <c r="AD197" s="23" t="b">
        <f t="shared" si="75"/>
        <v>1</v>
      </c>
      <c r="AE197" s="23" t="b">
        <f t="shared" si="76"/>
        <v>0</v>
      </c>
      <c r="AF197" s="23" t="b">
        <f t="shared" si="77"/>
        <v>0</v>
      </c>
      <c r="AG197" s="23" t="b">
        <f t="shared" si="78"/>
        <v>0</v>
      </c>
      <c r="AH197" s="23" t="b">
        <f t="shared" si="79"/>
        <v>0</v>
      </c>
      <c r="AI197" s="23" t="b">
        <f t="shared" si="80"/>
        <v>0</v>
      </c>
      <c r="AJ197" s="23" t="b">
        <v>0</v>
      </c>
      <c r="AK197" s="23" t="b">
        <f t="shared" si="81"/>
        <v>0</v>
      </c>
      <c r="AL197" s="23" t="b">
        <f t="shared" si="82"/>
        <v>0</v>
      </c>
      <c r="AM197" s="23" t="b">
        <f t="shared" si="83"/>
        <v>0</v>
      </c>
      <c r="AN197" s="23" t="b">
        <f t="shared" si="84"/>
        <v>0</v>
      </c>
      <c r="AO197" s="23" t="b">
        <f t="shared" si="85"/>
        <v>1</v>
      </c>
      <c r="AP197" s="23" t="b">
        <f t="shared" si="86"/>
        <v>0</v>
      </c>
      <c r="AQ197" s="23" t="b">
        <f t="shared" si="87"/>
        <v>0</v>
      </c>
      <c r="AR197" s="23" t="b">
        <f t="shared" si="88"/>
        <v>0</v>
      </c>
      <c r="AS197" s="23" t="b">
        <v>0</v>
      </c>
      <c r="AT197" s="23" t="b">
        <f t="shared" si="89"/>
        <v>1</v>
      </c>
      <c r="AU197" s="23" t="b">
        <f t="shared" si="90"/>
        <v>0</v>
      </c>
      <c r="AV197" s="23" t="b">
        <f t="shared" si="91"/>
        <v>1</v>
      </c>
      <c r="AW197" s="23" t="b">
        <f t="shared" si="92"/>
        <v>0</v>
      </c>
      <c r="AX197" s="23" t="s">
        <v>132</v>
      </c>
      <c r="AY197" s="23" t="b">
        <v>0</v>
      </c>
      <c r="AZ197" s="23" t="s">
        <v>989</v>
      </c>
    </row>
    <row r="198" spans="1:52" x14ac:dyDescent="0.2">
      <c r="A198" s="23">
        <v>245</v>
      </c>
      <c r="B198" s="23" t="s">
        <v>982</v>
      </c>
      <c r="C198" s="23" t="s">
        <v>993</v>
      </c>
      <c r="D198" s="23" t="b">
        <v>1</v>
      </c>
      <c r="E198" s="23" t="s">
        <v>994</v>
      </c>
      <c r="F198" s="23" t="s">
        <v>995</v>
      </c>
      <c r="G198" s="23" t="s">
        <v>92</v>
      </c>
      <c r="H198" s="23" t="s">
        <v>996</v>
      </c>
      <c r="J198" s="25" t="s">
        <v>464</v>
      </c>
      <c r="K198" s="23" t="s">
        <v>997</v>
      </c>
      <c r="L198" s="25" t="s">
        <v>1297</v>
      </c>
      <c r="M198" s="25" t="s">
        <v>1296</v>
      </c>
      <c r="P198" s="23">
        <v>2019</v>
      </c>
      <c r="Q198" s="23">
        <v>2020</v>
      </c>
      <c r="R198" s="23" t="s">
        <v>132</v>
      </c>
      <c r="S198" s="23" t="s">
        <v>989</v>
      </c>
      <c r="T198" s="23" t="s">
        <v>188</v>
      </c>
      <c r="U198" s="23" t="s">
        <v>189</v>
      </c>
      <c r="V198" s="23" t="s">
        <v>190</v>
      </c>
      <c r="W198" s="23" t="s">
        <v>103</v>
      </c>
      <c r="X198" s="23" t="s">
        <v>104</v>
      </c>
      <c r="Y198" s="23" t="b">
        <f t="shared" si="70"/>
        <v>0</v>
      </c>
      <c r="Z198" s="23" t="b">
        <f t="shared" si="71"/>
        <v>0</v>
      </c>
      <c r="AA198" s="23" t="b">
        <f t="shared" si="72"/>
        <v>0</v>
      </c>
      <c r="AB198" s="23" t="b">
        <f t="shared" si="73"/>
        <v>0</v>
      </c>
      <c r="AC198" s="23" t="b">
        <f t="shared" si="74"/>
        <v>1</v>
      </c>
      <c r="AD198" s="23" t="b">
        <f t="shared" si="75"/>
        <v>1</v>
      </c>
      <c r="AE198" s="23" t="b">
        <f t="shared" si="76"/>
        <v>0</v>
      </c>
      <c r="AF198" s="23" t="b">
        <f t="shared" si="77"/>
        <v>0</v>
      </c>
      <c r="AG198" s="23" t="b">
        <f t="shared" si="78"/>
        <v>0</v>
      </c>
      <c r="AH198" s="23" t="b">
        <f t="shared" si="79"/>
        <v>0</v>
      </c>
      <c r="AI198" s="23" t="b">
        <f t="shared" si="80"/>
        <v>0</v>
      </c>
      <c r="AJ198" s="23" t="b">
        <v>0</v>
      </c>
      <c r="AK198" s="23" t="b">
        <f t="shared" si="81"/>
        <v>0</v>
      </c>
      <c r="AL198" s="23" t="b">
        <f t="shared" si="82"/>
        <v>0</v>
      </c>
      <c r="AM198" s="23" t="b">
        <f t="shared" si="83"/>
        <v>0</v>
      </c>
      <c r="AN198" s="23" t="b">
        <f t="shared" si="84"/>
        <v>0</v>
      </c>
      <c r="AO198" s="23" t="b">
        <f t="shared" si="85"/>
        <v>1</v>
      </c>
      <c r="AP198" s="23" t="b">
        <f t="shared" si="86"/>
        <v>0</v>
      </c>
      <c r="AQ198" s="23" t="b">
        <f t="shared" si="87"/>
        <v>0</v>
      </c>
      <c r="AR198" s="23" t="b">
        <f t="shared" si="88"/>
        <v>0</v>
      </c>
      <c r="AS198" s="23" t="b">
        <v>0</v>
      </c>
      <c r="AT198" s="23" t="b">
        <f t="shared" si="89"/>
        <v>1</v>
      </c>
      <c r="AU198" s="23" t="b">
        <f t="shared" si="90"/>
        <v>0</v>
      </c>
      <c r="AV198" s="23" t="b">
        <f t="shared" si="91"/>
        <v>1</v>
      </c>
      <c r="AW198" s="23" t="b">
        <f t="shared" si="92"/>
        <v>0</v>
      </c>
      <c r="AX198" s="23" t="s">
        <v>132</v>
      </c>
      <c r="AY198" s="23" t="b">
        <v>0</v>
      </c>
      <c r="AZ198" s="23" t="s">
        <v>989</v>
      </c>
    </row>
    <row r="199" spans="1:52" x14ac:dyDescent="0.2">
      <c r="A199" s="23">
        <v>246</v>
      </c>
      <c r="B199" s="23" t="s">
        <v>982</v>
      </c>
      <c r="C199" s="23" t="s">
        <v>998</v>
      </c>
      <c r="D199" s="23" t="b">
        <v>1</v>
      </c>
      <c r="E199" s="23" t="s">
        <v>994</v>
      </c>
      <c r="F199" s="23" t="s">
        <v>999</v>
      </c>
      <c r="G199" s="23" t="s">
        <v>92</v>
      </c>
      <c r="H199" s="23" t="s">
        <v>1000</v>
      </c>
      <c r="J199" s="23" t="s">
        <v>464</v>
      </c>
      <c r="K199" s="23" t="s">
        <v>1001</v>
      </c>
      <c r="L199" s="25" t="s">
        <v>1297</v>
      </c>
      <c r="M199" s="25" t="s">
        <v>1296</v>
      </c>
      <c r="P199" s="23">
        <v>2018</v>
      </c>
      <c r="Q199" s="23">
        <v>2019</v>
      </c>
      <c r="R199" s="23" t="s">
        <v>132</v>
      </c>
      <c r="S199" s="23" t="s">
        <v>989</v>
      </c>
      <c r="T199" s="23" t="s">
        <v>188</v>
      </c>
      <c r="U199" s="23" t="s">
        <v>189</v>
      </c>
      <c r="V199" s="23" t="s">
        <v>190</v>
      </c>
      <c r="W199" s="23" t="s">
        <v>103</v>
      </c>
      <c r="X199" s="23" t="s">
        <v>104</v>
      </c>
      <c r="Y199" s="23" t="b">
        <f t="shared" si="70"/>
        <v>0</v>
      </c>
      <c r="Z199" s="23" t="b">
        <f t="shared" si="71"/>
        <v>0</v>
      </c>
      <c r="AA199" s="23" t="b">
        <f t="shared" si="72"/>
        <v>0</v>
      </c>
      <c r="AB199" s="23" t="b">
        <f t="shared" si="73"/>
        <v>0</v>
      </c>
      <c r="AC199" s="23" t="b">
        <f t="shared" si="74"/>
        <v>1</v>
      </c>
      <c r="AD199" s="23" t="b">
        <f t="shared" si="75"/>
        <v>1</v>
      </c>
      <c r="AE199" s="23" t="b">
        <f t="shared" si="76"/>
        <v>0</v>
      </c>
      <c r="AF199" s="23" t="b">
        <f t="shared" si="77"/>
        <v>0</v>
      </c>
      <c r="AG199" s="23" t="b">
        <f t="shared" si="78"/>
        <v>0</v>
      </c>
      <c r="AH199" s="23" t="b">
        <f t="shared" si="79"/>
        <v>0</v>
      </c>
      <c r="AI199" s="23" t="b">
        <f t="shared" si="80"/>
        <v>0</v>
      </c>
      <c r="AJ199" s="23" t="b">
        <v>0</v>
      </c>
      <c r="AK199" s="23" t="b">
        <f t="shared" si="81"/>
        <v>0</v>
      </c>
      <c r="AL199" s="23" t="b">
        <f t="shared" si="82"/>
        <v>0</v>
      </c>
      <c r="AM199" s="23" t="b">
        <f t="shared" si="83"/>
        <v>0</v>
      </c>
      <c r="AN199" s="23" t="b">
        <f t="shared" si="84"/>
        <v>0</v>
      </c>
      <c r="AO199" s="23" t="b">
        <f t="shared" si="85"/>
        <v>1</v>
      </c>
      <c r="AP199" s="23" t="b">
        <f t="shared" si="86"/>
        <v>0</v>
      </c>
      <c r="AQ199" s="23" t="b">
        <f t="shared" si="87"/>
        <v>0</v>
      </c>
      <c r="AR199" s="23" t="b">
        <f t="shared" si="88"/>
        <v>0</v>
      </c>
      <c r="AS199" s="23" t="b">
        <v>0</v>
      </c>
      <c r="AT199" s="23" t="b">
        <f t="shared" si="89"/>
        <v>1</v>
      </c>
      <c r="AU199" s="23" t="b">
        <f t="shared" si="90"/>
        <v>0</v>
      </c>
      <c r="AV199" s="23" t="b">
        <f t="shared" si="91"/>
        <v>1</v>
      </c>
      <c r="AW199" s="23" t="b">
        <f t="shared" si="92"/>
        <v>0</v>
      </c>
      <c r="AX199" s="23" t="s">
        <v>132</v>
      </c>
      <c r="AY199" s="23" t="b">
        <v>0</v>
      </c>
      <c r="AZ199" s="23" t="s">
        <v>989</v>
      </c>
    </row>
    <row r="200" spans="1:52" x14ac:dyDescent="0.2">
      <c r="A200" s="23">
        <v>247</v>
      </c>
      <c r="B200" s="23" t="s">
        <v>982</v>
      </c>
      <c r="C200" s="25" t="s">
        <v>1295</v>
      </c>
      <c r="D200" s="23" t="b">
        <v>1</v>
      </c>
      <c r="E200" s="23" t="s">
        <v>1002</v>
      </c>
      <c r="F200" s="23" t="s">
        <v>1003</v>
      </c>
      <c r="G200" s="23" t="s">
        <v>92</v>
      </c>
      <c r="H200" s="25" t="s">
        <v>1303</v>
      </c>
      <c r="J200" s="25" t="s">
        <v>464</v>
      </c>
      <c r="K200" s="23" t="s">
        <v>1004</v>
      </c>
      <c r="L200" s="25" t="s">
        <v>1297</v>
      </c>
      <c r="M200" s="25" t="s">
        <v>1296</v>
      </c>
      <c r="P200" s="23">
        <v>2015</v>
      </c>
      <c r="Q200" s="23">
        <v>2022</v>
      </c>
      <c r="R200" s="23" t="s">
        <v>132</v>
      </c>
      <c r="S200" s="23" t="s">
        <v>989</v>
      </c>
      <c r="T200" s="23" t="s">
        <v>188</v>
      </c>
      <c r="U200" s="23" t="s">
        <v>189</v>
      </c>
      <c r="V200" s="23" t="s">
        <v>190</v>
      </c>
      <c r="W200" s="23" t="s">
        <v>103</v>
      </c>
      <c r="X200" s="23" t="s">
        <v>104</v>
      </c>
      <c r="Y200" s="23" t="b">
        <f t="shared" si="70"/>
        <v>0</v>
      </c>
      <c r="Z200" s="23" t="b">
        <f t="shared" si="71"/>
        <v>0</v>
      </c>
      <c r="AA200" s="23" t="b">
        <f t="shared" si="72"/>
        <v>0</v>
      </c>
      <c r="AB200" s="23" t="b">
        <f t="shared" si="73"/>
        <v>0</v>
      </c>
      <c r="AC200" s="23" t="b">
        <f t="shared" si="74"/>
        <v>1</v>
      </c>
      <c r="AD200" s="23" t="b">
        <f t="shared" si="75"/>
        <v>1</v>
      </c>
      <c r="AE200" s="23" t="b">
        <f t="shared" si="76"/>
        <v>0</v>
      </c>
      <c r="AF200" s="23" t="b">
        <f t="shared" si="77"/>
        <v>0</v>
      </c>
      <c r="AG200" s="23" t="b">
        <f t="shared" si="78"/>
        <v>0</v>
      </c>
      <c r="AH200" s="23" t="b">
        <f t="shared" si="79"/>
        <v>0</v>
      </c>
      <c r="AI200" s="23" t="b">
        <f t="shared" si="80"/>
        <v>0</v>
      </c>
      <c r="AJ200" s="23" t="b">
        <v>0</v>
      </c>
      <c r="AK200" s="23" t="b">
        <f t="shared" si="81"/>
        <v>0</v>
      </c>
      <c r="AL200" s="23" t="b">
        <f t="shared" si="82"/>
        <v>0</v>
      </c>
      <c r="AM200" s="23" t="b">
        <f t="shared" si="83"/>
        <v>0</v>
      </c>
      <c r="AN200" s="23" t="b">
        <f t="shared" si="84"/>
        <v>0</v>
      </c>
      <c r="AO200" s="23" t="b">
        <f t="shared" si="85"/>
        <v>1</v>
      </c>
      <c r="AP200" s="23" t="b">
        <f t="shared" si="86"/>
        <v>0</v>
      </c>
      <c r="AQ200" s="23" t="b">
        <f t="shared" si="87"/>
        <v>0</v>
      </c>
      <c r="AR200" s="23" t="b">
        <f t="shared" si="88"/>
        <v>0</v>
      </c>
      <c r="AS200" s="23" t="b">
        <v>0</v>
      </c>
      <c r="AT200" s="23" t="b">
        <f t="shared" si="89"/>
        <v>1</v>
      </c>
      <c r="AU200" s="23" t="b">
        <f t="shared" si="90"/>
        <v>0</v>
      </c>
      <c r="AV200" s="23" t="b">
        <f t="shared" si="91"/>
        <v>1</v>
      </c>
      <c r="AW200" s="23" t="b">
        <f t="shared" si="92"/>
        <v>0</v>
      </c>
      <c r="AX200" s="23" t="s">
        <v>132</v>
      </c>
      <c r="AY200" s="23" t="b">
        <v>0</v>
      </c>
      <c r="AZ200" s="23" t="s">
        <v>989</v>
      </c>
    </row>
    <row r="201" spans="1:52" x14ac:dyDescent="0.2">
      <c r="A201" s="23">
        <v>249</v>
      </c>
      <c r="B201" s="23" t="s">
        <v>1005</v>
      </c>
      <c r="C201" s="23" t="s">
        <v>1006</v>
      </c>
      <c r="D201" s="23" t="b">
        <v>1</v>
      </c>
      <c r="E201" s="23" t="s">
        <v>1007</v>
      </c>
      <c r="F201" s="23" t="s">
        <v>1008</v>
      </c>
      <c r="G201" s="23" t="s">
        <v>92</v>
      </c>
      <c r="H201" s="23" t="s">
        <v>116</v>
      </c>
      <c r="I201" s="23" t="s">
        <v>1009</v>
      </c>
      <c r="J201" s="23" t="s">
        <v>95</v>
      </c>
      <c r="K201" s="23" t="s">
        <v>118</v>
      </c>
      <c r="L201" s="23" t="s">
        <v>365</v>
      </c>
      <c r="M201" s="23" t="s">
        <v>532</v>
      </c>
      <c r="Q201" s="23">
        <v>2018</v>
      </c>
      <c r="R201" s="23" t="s">
        <v>119</v>
      </c>
      <c r="T201" s="23" t="s">
        <v>156</v>
      </c>
      <c r="U201" s="23" t="s">
        <v>111</v>
      </c>
      <c r="V201" s="23" t="s">
        <v>112</v>
      </c>
      <c r="W201" s="23" t="s">
        <v>121</v>
      </c>
      <c r="X201" s="23" t="s">
        <v>104</v>
      </c>
      <c r="Y201" s="23" t="b">
        <f t="shared" si="70"/>
        <v>0</v>
      </c>
      <c r="Z201" s="23" t="b">
        <f t="shared" si="71"/>
        <v>0</v>
      </c>
      <c r="AA201" s="23" t="b">
        <f t="shared" si="72"/>
        <v>0</v>
      </c>
      <c r="AB201" s="23" t="b">
        <f t="shared" si="73"/>
        <v>0</v>
      </c>
      <c r="AC201" s="23" t="b">
        <f t="shared" si="74"/>
        <v>0</v>
      </c>
      <c r="AD201" s="23" t="b">
        <f t="shared" si="75"/>
        <v>0</v>
      </c>
      <c r="AE201" s="23" t="b">
        <f t="shared" si="76"/>
        <v>0</v>
      </c>
      <c r="AF201" s="23" t="b">
        <f t="shared" si="77"/>
        <v>0</v>
      </c>
      <c r="AG201" s="23" t="b">
        <f t="shared" si="78"/>
        <v>0</v>
      </c>
      <c r="AH201" s="23" t="b">
        <f t="shared" si="79"/>
        <v>0</v>
      </c>
      <c r="AI201" s="23" t="b">
        <f t="shared" si="80"/>
        <v>0</v>
      </c>
      <c r="AJ201" s="23" t="b">
        <v>0</v>
      </c>
      <c r="AK201" s="23" t="b">
        <f t="shared" si="81"/>
        <v>0</v>
      </c>
      <c r="AL201" s="23" t="b">
        <f t="shared" si="82"/>
        <v>0</v>
      </c>
      <c r="AM201" s="23" t="b">
        <f t="shared" si="83"/>
        <v>0</v>
      </c>
      <c r="AN201" s="23" t="b">
        <f t="shared" si="84"/>
        <v>0</v>
      </c>
      <c r="AO201" s="23" t="b">
        <f t="shared" si="85"/>
        <v>1</v>
      </c>
      <c r="AP201" s="23" t="b">
        <f t="shared" si="86"/>
        <v>0</v>
      </c>
      <c r="AQ201" s="23" t="b">
        <f t="shared" si="87"/>
        <v>0</v>
      </c>
      <c r="AR201" s="23" t="b">
        <f t="shared" si="88"/>
        <v>0</v>
      </c>
      <c r="AS201" s="23" t="b">
        <v>0</v>
      </c>
      <c r="AT201" s="23" t="b">
        <f t="shared" si="89"/>
        <v>1</v>
      </c>
      <c r="AU201" s="23" t="b">
        <f t="shared" si="90"/>
        <v>0</v>
      </c>
      <c r="AV201" s="23" t="b">
        <f t="shared" si="91"/>
        <v>0</v>
      </c>
      <c r="AW201" s="23" t="b">
        <f t="shared" si="92"/>
        <v>0</v>
      </c>
      <c r="AX201" s="23" t="s">
        <v>99</v>
      </c>
      <c r="AY201" s="23" t="b">
        <v>0</v>
      </c>
      <c r="AZ201" s="23" t="s">
        <v>105</v>
      </c>
    </row>
    <row r="202" spans="1:52" x14ac:dyDescent="0.2">
      <c r="A202" s="23">
        <v>250</v>
      </c>
      <c r="B202" s="23" t="s">
        <v>1005</v>
      </c>
      <c r="C202" s="23" t="s">
        <v>1010</v>
      </c>
      <c r="D202" s="23" t="b">
        <v>1</v>
      </c>
      <c r="E202" s="23" t="s">
        <v>1011</v>
      </c>
      <c r="F202" s="23" t="s">
        <v>1012</v>
      </c>
      <c r="G202" s="23" t="s">
        <v>92</v>
      </c>
      <c r="H202" s="23" t="s">
        <v>116</v>
      </c>
      <c r="I202" s="23" t="s">
        <v>1013</v>
      </c>
      <c r="J202" s="23" t="s">
        <v>95</v>
      </c>
      <c r="K202" s="23" t="s">
        <v>118</v>
      </c>
      <c r="L202" s="23" t="s">
        <v>365</v>
      </c>
      <c r="M202" s="23" t="s">
        <v>532</v>
      </c>
      <c r="Q202" s="23">
        <v>2018</v>
      </c>
      <c r="R202" s="23" t="s">
        <v>119</v>
      </c>
      <c r="T202" s="23" t="s">
        <v>243</v>
      </c>
      <c r="U202" s="23" t="s">
        <v>244</v>
      </c>
      <c r="V202" s="23" t="s">
        <v>223</v>
      </c>
      <c r="W202" s="23" t="s">
        <v>121</v>
      </c>
      <c r="X202" s="23" t="s">
        <v>104</v>
      </c>
      <c r="Y202" s="23" t="b">
        <f t="shared" si="70"/>
        <v>0</v>
      </c>
      <c r="Z202" s="23" t="b">
        <f t="shared" si="71"/>
        <v>0</v>
      </c>
      <c r="AA202" s="23" t="b">
        <f t="shared" si="72"/>
        <v>0</v>
      </c>
      <c r="AB202" s="23" t="b">
        <f t="shared" si="73"/>
        <v>0</v>
      </c>
      <c r="AC202" s="23" t="b">
        <f t="shared" si="74"/>
        <v>0</v>
      </c>
      <c r="AD202" s="23" t="b">
        <f t="shared" si="75"/>
        <v>0</v>
      </c>
      <c r="AE202" s="23" t="b">
        <f t="shared" si="76"/>
        <v>0</v>
      </c>
      <c r="AF202" s="23" t="b">
        <f t="shared" si="77"/>
        <v>0</v>
      </c>
      <c r="AG202" s="23" t="b">
        <f t="shared" si="78"/>
        <v>0</v>
      </c>
      <c r="AH202" s="23" t="b">
        <f t="shared" si="79"/>
        <v>0</v>
      </c>
      <c r="AI202" s="23" t="b">
        <f t="shared" si="80"/>
        <v>0</v>
      </c>
      <c r="AJ202" s="23" t="b">
        <v>0</v>
      </c>
      <c r="AK202" s="23" t="b">
        <f t="shared" si="81"/>
        <v>0</v>
      </c>
      <c r="AL202" s="23" t="b">
        <f t="shared" si="82"/>
        <v>0</v>
      </c>
      <c r="AM202" s="23" t="b">
        <f t="shared" si="83"/>
        <v>0</v>
      </c>
      <c r="AN202" s="23" t="b">
        <f t="shared" si="84"/>
        <v>0</v>
      </c>
      <c r="AO202" s="23" t="b">
        <f t="shared" si="85"/>
        <v>1</v>
      </c>
      <c r="AP202" s="23" t="b">
        <f t="shared" si="86"/>
        <v>0</v>
      </c>
      <c r="AQ202" s="23" t="b">
        <f t="shared" si="87"/>
        <v>0</v>
      </c>
      <c r="AR202" s="23" t="b">
        <f t="shared" si="88"/>
        <v>0</v>
      </c>
      <c r="AS202" s="23" t="b">
        <v>0</v>
      </c>
      <c r="AT202" s="23" t="b">
        <f t="shared" si="89"/>
        <v>1</v>
      </c>
      <c r="AU202" s="23" t="b">
        <f t="shared" si="90"/>
        <v>0</v>
      </c>
      <c r="AV202" s="23" t="b">
        <f t="shared" si="91"/>
        <v>0</v>
      </c>
      <c r="AW202" s="23" t="b">
        <f t="shared" si="92"/>
        <v>0</v>
      </c>
      <c r="AX202" s="23" t="s">
        <v>99</v>
      </c>
      <c r="AY202" s="23" t="b">
        <v>0</v>
      </c>
      <c r="AZ202" s="23" t="s">
        <v>105</v>
      </c>
    </row>
    <row r="203" spans="1:52" x14ac:dyDescent="0.2">
      <c r="A203" s="23">
        <v>251</v>
      </c>
      <c r="B203" s="23" t="s">
        <v>1005</v>
      </c>
      <c r="C203" s="23" t="s">
        <v>1014</v>
      </c>
      <c r="D203" s="23" t="b">
        <v>1</v>
      </c>
      <c r="E203" s="23" t="s">
        <v>1015</v>
      </c>
      <c r="F203" s="23" t="s">
        <v>1016</v>
      </c>
      <c r="G203" s="23" t="s">
        <v>92</v>
      </c>
      <c r="H203" s="23" t="s">
        <v>116</v>
      </c>
      <c r="I203" s="23" t="s">
        <v>1017</v>
      </c>
      <c r="J203" s="23" t="s">
        <v>95</v>
      </c>
      <c r="K203" s="23" t="s">
        <v>118</v>
      </c>
      <c r="L203" s="23" t="s">
        <v>365</v>
      </c>
      <c r="M203" s="23" t="s">
        <v>532</v>
      </c>
      <c r="Q203" s="23">
        <v>2018</v>
      </c>
      <c r="R203" s="23" t="s">
        <v>132</v>
      </c>
      <c r="T203" s="23" t="s">
        <v>243</v>
      </c>
      <c r="U203" s="23" t="s">
        <v>244</v>
      </c>
      <c r="V203" s="23" t="s">
        <v>223</v>
      </c>
      <c r="W203" s="23" t="s">
        <v>121</v>
      </c>
      <c r="X203" s="23" t="s">
        <v>104</v>
      </c>
      <c r="Y203" s="23" t="b">
        <f t="shared" si="70"/>
        <v>0</v>
      </c>
      <c r="Z203" s="23" t="b">
        <f t="shared" si="71"/>
        <v>0</v>
      </c>
      <c r="AA203" s="23" t="b">
        <f t="shared" si="72"/>
        <v>0</v>
      </c>
      <c r="AB203" s="23" t="b">
        <f t="shared" si="73"/>
        <v>0</v>
      </c>
      <c r="AC203" s="23" t="b">
        <f t="shared" si="74"/>
        <v>0</v>
      </c>
      <c r="AD203" s="23" t="b">
        <f t="shared" si="75"/>
        <v>0</v>
      </c>
      <c r="AE203" s="23" t="b">
        <f t="shared" si="76"/>
        <v>0</v>
      </c>
      <c r="AF203" s="23" t="b">
        <f t="shared" si="77"/>
        <v>0</v>
      </c>
      <c r="AG203" s="23" t="b">
        <f t="shared" si="78"/>
        <v>0</v>
      </c>
      <c r="AH203" s="23" t="b">
        <f t="shared" si="79"/>
        <v>0</v>
      </c>
      <c r="AI203" s="23" t="b">
        <f t="shared" si="80"/>
        <v>0</v>
      </c>
      <c r="AJ203" s="23" t="b">
        <v>0</v>
      </c>
      <c r="AK203" s="23" t="b">
        <f t="shared" si="81"/>
        <v>0</v>
      </c>
      <c r="AL203" s="23" t="b">
        <f t="shared" si="82"/>
        <v>0</v>
      </c>
      <c r="AM203" s="23" t="b">
        <f t="shared" si="83"/>
        <v>0</v>
      </c>
      <c r="AN203" s="23" t="b">
        <f t="shared" si="84"/>
        <v>0</v>
      </c>
      <c r="AO203" s="23" t="b">
        <f t="shared" si="85"/>
        <v>1</v>
      </c>
      <c r="AP203" s="23" t="b">
        <f t="shared" si="86"/>
        <v>0</v>
      </c>
      <c r="AQ203" s="23" t="b">
        <f t="shared" si="87"/>
        <v>0</v>
      </c>
      <c r="AR203" s="23" t="b">
        <f t="shared" si="88"/>
        <v>0</v>
      </c>
      <c r="AS203" s="23" t="b">
        <v>0</v>
      </c>
      <c r="AT203" s="23" t="b">
        <f t="shared" si="89"/>
        <v>1</v>
      </c>
      <c r="AU203" s="23" t="b">
        <f t="shared" si="90"/>
        <v>0</v>
      </c>
      <c r="AV203" s="23" t="b">
        <f t="shared" si="91"/>
        <v>0</v>
      </c>
      <c r="AW203" s="23" t="b">
        <f t="shared" si="92"/>
        <v>0</v>
      </c>
      <c r="AX203" s="23" t="s">
        <v>132</v>
      </c>
      <c r="AY203" s="23" t="b">
        <v>0</v>
      </c>
      <c r="AZ203" s="23" t="s">
        <v>105</v>
      </c>
    </row>
    <row r="204" spans="1:52" x14ac:dyDescent="0.2">
      <c r="A204" s="23">
        <v>252</v>
      </c>
      <c r="B204" s="23" t="s">
        <v>1005</v>
      </c>
      <c r="C204" s="23" t="s">
        <v>1018</v>
      </c>
      <c r="D204" s="23" t="b">
        <v>1</v>
      </c>
      <c r="E204" s="23" t="s">
        <v>1019</v>
      </c>
      <c r="F204" s="23" t="s">
        <v>1020</v>
      </c>
      <c r="G204" s="23" t="s">
        <v>92</v>
      </c>
      <c r="H204" s="23" t="s">
        <v>116</v>
      </c>
      <c r="I204" s="23" t="s">
        <v>1021</v>
      </c>
      <c r="J204" s="23" t="s">
        <v>95</v>
      </c>
      <c r="K204" s="23" t="s">
        <v>118</v>
      </c>
      <c r="L204" s="23" t="s">
        <v>365</v>
      </c>
      <c r="M204" s="23" t="s">
        <v>532</v>
      </c>
      <c r="Q204" s="23">
        <v>2018</v>
      </c>
      <c r="R204" s="23" t="s">
        <v>132</v>
      </c>
      <c r="T204" s="23" t="s">
        <v>243</v>
      </c>
      <c r="U204" s="23" t="s">
        <v>244</v>
      </c>
      <c r="V204" s="23" t="s">
        <v>223</v>
      </c>
      <c r="W204" s="23" t="s">
        <v>121</v>
      </c>
      <c r="X204" s="23" t="s">
        <v>104</v>
      </c>
      <c r="Y204" s="23" t="b">
        <f t="shared" si="70"/>
        <v>0</v>
      </c>
      <c r="Z204" s="23" t="b">
        <f t="shared" si="71"/>
        <v>0</v>
      </c>
      <c r="AA204" s="23" t="b">
        <f t="shared" si="72"/>
        <v>0</v>
      </c>
      <c r="AB204" s="23" t="b">
        <f t="shared" si="73"/>
        <v>0</v>
      </c>
      <c r="AC204" s="23" t="b">
        <f t="shared" si="74"/>
        <v>0</v>
      </c>
      <c r="AD204" s="23" t="b">
        <f t="shared" si="75"/>
        <v>0</v>
      </c>
      <c r="AE204" s="23" t="b">
        <f t="shared" si="76"/>
        <v>0</v>
      </c>
      <c r="AF204" s="23" t="b">
        <f t="shared" si="77"/>
        <v>0</v>
      </c>
      <c r="AG204" s="23" t="b">
        <f t="shared" si="78"/>
        <v>0</v>
      </c>
      <c r="AH204" s="23" t="b">
        <f t="shared" si="79"/>
        <v>0</v>
      </c>
      <c r="AI204" s="23" t="b">
        <f t="shared" si="80"/>
        <v>0</v>
      </c>
      <c r="AJ204" s="23" t="b">
        <v>0</v>
      </c>
      <c r="AK204" s="23" t="b">
        <f t="shared" si="81"/>
        <v>0</v>
      </c>
      <c r="AL204" s="23" t="b">
        <f t="shared" si="82"/>
        <v>0</v>
      </c>
      <c r="AM204" s="23" t="b">
        <f t="shared" si="83"/>
        <v>0</v>
      </c>
      <c r="AN204" s="23" t="b">
        <f t="shared" si="84"/>
        <v>0</v>
      </c>
      <c r="AO204" s="23" t="b">
        <f t="shared" si="85"/>
        <v>1</v>
      </c>
      <c r="AP204" s="23" t="b">
        <f t="shared" si="86"/>
        <v>0</v>
      </c>
      <c r="AQ204" s="23" t="b">
        <f t="shared" si="87"/>
        <v>0</v>
      </c>
      <c r="AR204" s="23" t="b">
        <f t="shared" si="88"/>
        <v>0</v>
      </c>
      <c r="AS204" s="23" t="b">
        <v>0</v>
      </c>
      <c r="AT204" s="23" t="b">
        <f t="shared" si="89"/>
        <v>1</v>
      </c>
      <c r="AU204" s="23" t="b">
        <f t="shared" si="90"/>
        <v>0</v>
      </c>
      <c r="AV204" s="23" t="b">
        <f t="shared" si="91"/>
        <v>0</v>
      </c>
      <c r="AW204" s="23" t="b">
        <f t="shared" si="92"/>
        <v>0</v>
      </c>
      <c r="AX204" s="23" t="s">
        <v>132</v>
      </c>
      <c r="AY204" s="23" t="b">
        <v>0</v>
      </c>
      <c r="AZ204" s="23" t="s">
        <v>105</v>
      </c>
    </row>
    <row r="205" spans="1:52" x14ac:dyDescent="0.2">
      <c r="A205" s="23">
        <v>253</v>
      </c>
      <c r="B205" s="23" t="s">
        <v>1005</v>
      </c>
      <c r="C205" s="23" t="s">
        <v>1022</v>
      </c>
      <c r="D205" s="23" t="b">
        <v>1</v>
      </c>
      <c r="E205" s="23" t="s">
        <v>1023</v>
      </c>
      <c r="F205" s="23" t="s">
        <v>1024</v>
      </c>
      <c r="G205" s="23" t="s">
        <v>92</v>
      </c>
      <c r="H205" s="23" t="s">
        <v>116</v>
      </c>
      <c r="I205" s="23" t="s">
        <v>1025</v>
      </c>
      <c r="J205" s="23" t="s">
        <v>95</v>
      </c>
      <c r="K205" s="23" t="s">
        <v>118</v>
      </c>
      <c r="L205" s="23" t="s">
        <v>365</v>
      </c>
      <c r="M205" s="23" t="s">
        <v>532</v>
      </c>
      <c r="Q205" s="23">
        <v>2018</v>
      </c>
      <c r="R205" s="23" t="s">
        <v>119</v>
      </c>
      <c r="T205" s="23" t="s">
        <v>243</v>
      </c>
      <c r="U205" s="23" t="s">
        <v>244</v>
      </c>
      <c r="V205" s="23" t="s">
        <v>223</v>
      </c>
      <c r="W205" s="23" t="s">
        <v>121</v>
      </c>
      <c r="X205" s="23" t="s">
        <v>104</v>
      </c>
      <c r="Y205" s="23" t="b">
        <f t="shared" si="70"/>
        <v>0</v>
      </c>
      <c r="Z205" s="23" t="b">
        <f t="shared" si="71"/>
        <v>0</v>
      </c>
      <c r="AA205" s="23" t="b">
        <f t="shared" si="72"/>
        <v>0</v>
      </c>
      <c r="AB205" s="23" t="b">
        <f t="shared" si="73"/>
        <v>0</v>
      </c>
      <c r="AC205" s="23" t="b">
        <f t="shared" si="74"/>
        <v>0</v>
      </c>
      <c r="AD205" s="23" t="b">
        <f t="shared" si="75"/>
        <v>0</v>
      </c>
      <c r="AE205" s="23" t="b">
        <f t="shared" si="76"/>
        <v>0</v>
      </c>
      <c r="AF205" s="23" t="b">
        <f t="shared" si="77"/>
        <v>0</v>
      </c>
      <c r="AG205" s="23" t="b">
        <f t="shared" si="78"/>
        <v>0</v>
      </c>
      <c r="AH205" s="23" t="b">
        <f t="shared" si="79"/>
        <v>0</v>
      </c>
      <c r="AI205" s="23" t="b">
        <f t="shared" si="80"/>
        <v>0</v>
      </c>
      <c r="AJ205" s="23" t="b">
        <v>0</v>
      </c>
      <c r="AK205" s="23" t="b">
        <f t="shared" si="81"/>
        <v>0</v>
      </c>
      <c r="AL205" s="23" t="b">
        <f t="shared" si="82"/>
        <v>0</v>
      </c>
      <c r="AM205" s="23" t="b">
        <f t="shared" si="83"/>
        <v>0</v>
      </c>
      <c r="AN205" s="23" t="b">
        <f t="shared" si="84"/>
        <v>0</v>
      </c>
      <c r="AO205" s="23" t="b">
        <f t="shared" si="85"/>
        <v>1</v>
      </c>
      <c r="AP205" s="23" t="b">
        <f t="shared" si="86"/>
        <v>0</v>
      </c>
      <c r="AQ205" s="23" t="b">
        <f t="shared" si="87"/>
        <v>0</v>
      </c>
      <c r="AR205" s="23" t="b">
        <f t="shared" si="88"/>
        <v>0</v>
      </c>
      <c r="AS205" s="23" t="b">
        <v>0</v>
      </c>
      <c r="AT205" s="23" t="b">
        <f t="shared" si="89"/>
        <v>1</v>
      </c>
      <c r="AU205" s="23" t="b">
        <f t="shared" si="90"/>
        <v>0</v>
      </c>
      <c r="AV205" s="23" t="b">
        <f t="shared" si="91"/>
        <v>0</v>
      </c>
      <c r="AW205" s="23" t="b">
        <f t="shared" si="92"/>
        <v>0</v>
      </c>
      <c r="AX205" s="23" t="s">
        <v>99</v>
      </c>
      <c r="AY205" s="23" t="b">
        <v>0</v>
      </c>
      <c r="AZ205" s="23" t="s">
        <v>105</v>
      </c>
    </row>
    <row r="206" spans="1:52" x14ac:dyDescent="0.2">
      <c r="A206" s="23">
        <v>254</v>
      </c>
      <c r="B206" s="23" t="s">
        <v>1005</v>
      </c>
      <c r="C206" s="23" t="s">
        <v>1026</v>
      </c>
      <c r="D206" s="23" t="b">
        <v>1</v>
      </c>
      <c r="E206" s="23" t="s">
        <v>1027</v>
      </c>
      <c r="F206" s="23" t="s">
        <v>1028</v>
      </c>
      <c r="G206" s="23" t="s">
        <v>92</v>
      </c>
      <c r="H206" s="23" t="s">
        <v>116</v>
      </c>
      <c r="I206" s="23" t="s">
        <v>1029</v>
      </c>
      <c r="J206" s="23" t="s">
        <v>95</v>
      </c>
      <c r="K206" s="23" t="s">
        <v>118</v>
      </c>
      <c r="L206" s="23" t="s">
        <v>365</v>
      </c>
      <c r="M206" s="23" t="s">
        <v>532</v>
      </c>
      <c r="Q206" s="23">
        <v>2018</v>
      </c>
      <c r="R206" s="23" t="s">
        <v>132</v>
      </c>
      <c r="T206" s="23" t="s">
        <v>243</v>
      </c>
      <c r="U206" s="23" t="s">
        <v>244</v>
      </c>
      <c r="V206" s="23" t="s">
        <v>223</v>
      </c>
      <c r="W206" s="23" t="s">
        <v>121</v>
      </c>
      <c r="X206" s="23" t="s">
        <v>104</v>
      </c>
      <c r="Y206" s="23" t="b">
        <f t="shared" si="70"/>
        <v>0</v>
      </c>
      <c r="Z206" s="23" t="b">
        <f t="shared" si="71"/>
        <v>0</v>
      </c>
      <c r="AA206" s="23" t="b">
        <f t="shared" si="72"/>
        <v>0</v>
      </c>
      <c r="AB206" s="23" t="b">
        <f t="shared" si="73"/>
        <v>0</v>
      </c>
      <c r="AC206" s="23" t="b">
        <f t="shared" si="74"/>
        <v>0</v>
      </c>
      <c r="AD206" s="23" t="b">
        <f t="shared" si="75"/>
        <v>0</v>
      </c>
      <c r="AE206" s="23" t="b">
        <f t="shared" si="76"/>
        <v>0</v>
      </c>
      <c r="AF206" s="23" t="b">
        <f t="shared" si="77"/>
        <v>0</v>
      </c>
      <c r="AG206" s="23" t="b">
        <f t="shared" si="78"/>
        <v>0</v>
      </c>
      <c r="AH206" s="23" t="b">
        <f t="shared" si="79"/>
        <v>0</v>
      </c>
      <c r="AI206" s="23" t="b">
        <f t="shared" si="80"/>
        <v>0</v>
      </c>
      <c r="AJ206" s="23" t="b">
        <v>0</v>
      </c>
      <c r="AK206" s="23" t="b">
        <f t="shared" si="81"/>
        <v>0</v>
      </c>
      <c r="AL206" s="23" t="b">
        <f t="shared" si="82"/>
        <v>0</v>
      </c>
      <c r="AM206" s="23" t="b">
        <f t="shared" si="83"/>
        <v>0</v>
      </c>
      <c r="AN206" s="23" t="b">
        <f t="shared" si="84"/>
        <v>0</v>
      </c>
      <c r="AO206" s="23" t="b">
        <f t="shared" si="85"/>
        <v>1</v>
      </c>
      <c r="AP206" s="23" t="b">
        <f t="shared" si="86"/>
        <v>0</v>
      </c>
      <c r="AQ206" s="23" t="b">
        <f t="shared" si="87"/>
        <v>0</v>
      </c>
      <c r="AR206" s="23" t="b">
        <f t="shared" si="88"/>
        <v>0</v>
      </c>
      <c r="AS206" s="23" t="b">
        <v>0</v>
      </c>
      <c r="AT206" s="23" t="b">
        <f t="shared" si="89"/>
        <v>1</v>
      </c>
      <c r="AU206" s="23" t="b">
        <f t="shared" si="90"/>
        <v>0</v>
      </c>
      <c r="AV206" s="23" t="b">
        <f t="shared" si="91"/>
        <v>0</v>
      </c>
      <c r="AW206" s="23" t="b">
        <f t="shared" si="92"/>
        <v>0</v>
      </c>
      <c r="AX206" s="23" t="s">
        <v>132</v>
      </c>
      <c r="AY206" s="23" t="b">
        <v>0</v>
      </c>
      <c r="AZ206" s="23" t="s">
        <v>105</v>
      </c>
    </row>
    <row r="207" spans="1:52" x14ac:dyDescent="0.2">
      <c r="A207" s="23">
        <v>255</v>
      </c>
      <c r="B207" s="23" t="s">
        <v>1005</v>
      </c>
      <c r="C207" s="23" t="s">
        <v>1030</v>
      </c>
      <c r="D207" s="23" t="b">
        <v>1</v>
      </c>
      <c r="E207" s="23" t="s">
        <v>1031</v>
      </c>
      <c r="F207" s="23" t="s">
        <v>1032</v>
      </c>
      <c r="G207" s="23" t="s">
        <v>92</v>
      </c>
      <c r="H207" s="23" t="s">
        <v>580</v>
      </c>
      <c r="J207" s="23" t="s">
        <v>581</v>
      </c>
      <c r="K207" s="23" t="s">
        <v>1033</v>
      </c>
      <c r="L207" s="23" t="s">
        <v>404</v>
      </c>
      <c r="M207" s="23" t="s">
        <v>576</v>
      </c>
      <c r="P207" s="23">
        <v>2015</v>
      </c>
      <c r="Q207" s="23">
        <v>2024</v>
      </c>
      <c r="R207" s="23" t="s">
        <v>132</v>
      </c>
      <c r="S207" s="23" t="s">
        <v>1034</v>
      </c>
      <c r="T207" s="23" t="s">
        <v>635</v>
      </c>
      <c r="U207" s="23" t="s">
        <v>244</v>
      </c>
      <c r="V207" s="23" t="s">
        <v>223</v>
      </c>
      <c r="W207" s="23" t="s">
        <v>103</v>
      </c>
      <c r="X207" s="23" t="s">
        <v>104</v>
      </c>
      <c r="Y207" s="23" t="b">
        <f t="shared" si="70"/>
        <v>0</v>
      </c>
      <c r="Z207" s="23" t="b">
        <f t="shared" si="71"/>
        <v>0</v>
      </c>
      <c r="AA207" s="23" t="b">
        <f t="shared" si="72"/>
        <v>0</v>
      </c>
      <c r="AB207" s="23" t="b">
        <f t="shared" si="73"/>
        <v>0</v>
      </c>
      <c r="AC207" s="23" t="b">
        <f t="shared" si="74"/>
        <v>0</v>
      </c>
      <c r="AD207" s="23" t="b">
        <f t="shared" si="75"/>
        <v>0</v>
      </c>
      <c r="AE207" s="23" t="b">
        <f t="shared" si="76"/>
        <v>0</v>
      </c>
      <c r="AF207" s="23" t="b">
        <f t="shared" si="77"/>
        <v>1</v>
      </c>
      <c r="AG207" s="23" t="b">
        <f t="shared" si="78"/>
        <v>0</v>
      </c>
      <c r="AH207" s="23" t="b">
        <f t="shared" si="79"/>
        <v>0</v>
      </c>
      <c r="AI207" s="23" t="b">
        <f t="shared" si="80"/>
        <v>0</v>
      </c>
      <c r="AJ207" s="23" t="b">
        <v>0</v>
      </c>
      <c r="AK207" s="23" t="b">
        <f t="shared" si="81"/>
        <v>0</v>
      </c>
      <c r="AL207" s="23" t="b">
        <f t="shared" si="82"/>
        <v>0</v>
      </c>
      <c r="AM207" s="23" t="b">
        <f t="shared" si="83"/>
        <v>0</v>
      </c>
      <c r="AN207" s="23" t="b">
        <f t="shared" si="84"/>
        <v>0</v>
      </c>
      <c r="AO207" s="23" t="b">
        <f t="shared" si="85"/>
        <v>0</v>
      </c>
      <c r="AP207" s="23" t="b">
        <f t="shared" si="86"/>
        <v>0</v>
      </c>
      <c r="AQ207" s="23" t="b">
        <f t="shared" si="87"/>
        <v>0</v>
      </c>
      <c r="AR207" s="23" t="b">
        <f t="shared" si="88"/>
        <v>0</v>
      </c>
      <c r="AS207" s="23" t="b">
        <v>0</v>
      </c>
      <c r="AT207" s="23" t="b">
        <f t="shared" si="89"/>
        <v>0</v>
      </c>
      <c r="AU207" s="23" t="b">
        <f t="shared" si="90"/>
        <v>1</v>
      </c>
      <c r="AV207" s="23" t="b">
        <f t="shared" si="91"/>
        <v>0</v>
      </c>
      <c r="AW207" s="23" t="b">
        <f t="shared" si="92"/>
        <v>0</v>
      </c>
      <c r="AX207" s="23" t="s">
        <v>132</v>
      </c>
      <c r="AY207" s="23" t="b">
        <v>0</v>
      </c>
      <c r="AZ207" s="23" t="s">
        <v>1034</v>
      </c>
    </row>
    <row r="208" spans="1:52" x14ac:dyDescent="0.2">
      <c r="A208" s="23">
        <v>256</v>
      </c>
      <c r="B208" s="23" t="s">
        <v>1005</v>
      </c>
      <c r="C208" s="23" t="s">
        <v>1035</v>
      </c>
      <c r="D208" s="23" t="b">
        <v>1</v>
      </c>
      <c r="E208" s="23" t="s">
        <v>1036</v>
      </c>
      <c r="F208" s="23" t="s">
        <v>1037</v>
      </c>
      <c r="G208" s="23" t="s">
        <v>92</v>
      </c>
      <c r="H208" s="23" t="s">
        <v>650</v>
      </c>
      <c r="I208" s="23" t="s">
        <v>1038</v>
      </c>
      <c r="J208" s="23" t="s">
        <v>652</v>
      </c>
      <c r="K208" s="23" t="s">
        <v>1039</v>
      </c>
      <c r="L208" s="23" t="s">
        <v>365</v>
      </c>
      <c r="M208" s="23" t="s">
        <v>532</v>
      </c>
      <c r="Q208" s="23">
        <v>2009</v>
      </c>
      <c r="R208" s="23" t="s">
        <v>1040</v>
      </c>
      <c r="T208" s="23" t="s">
        <v>654</v>
      </c>
      <c r="U208" s="23" t="s">
        <v>244</v>
      </c>
      <c r="V208" s="23" t="s">
        <v>223</v>
      </c>
      <c r="W208" s="23" t="s">
        <v>103</v>
      </c>
      <c r="X208" s="23" t="s">
        <v>104</v>
      </c>
      <c r="Y208" s="23" t="b">
        <f t="shared" si="70"/>
        <v>0</v>
      </c>
      <c r="Z208" s="23" t="b">
        <f t="shared" si="71"/>
        <v>0</v>
      </c>
      <c r="AA208" s="23" t="b">
        <f t="shared" si="72"/>
        <v>0</v>
      </c>
      <c r="AB208" s="23" t="b">
        <f t="shared" si="73"/>
        <v>0</v>
      </c>
      <c r="AC208" s="23" t="b">
        <f t="shared" si="74"/>
        <v>0</v>
      </c>
      <c r="AD208" s="23" t="b">
        <f t="shared" si="75"/>
        <v>0</v>
      </c>
      <c r="AE208" s="23" t="b">
        <f t="shared" si="76"/>
        <v>0</v>
      </c>
      <c r="AF208" s="23" t="b">
        <f t="shared" si="77"/>
        <v>0</v>
      </c>
      <c r="AG208" s="23" t="b">
        <f t="shared" si="78"/>
        <v>0</v>
      </c>
      <c r="AH208" s="23" t="b">
        <f t="shared" si="79"/>
        <v>0</v>
      </c>
      <c r="AI208" s="23" t="b">
        <f t="shared" si="80"/>
        <v>0</v>
      </c>
      <c r="AJ208" s="23" t="b">
        <v>0</v>
      </c>
      <c r="AK208" s="23" t="b">
        <f t="shared" si="81"/>
        <v>0</v>
      </c>
      <c r="AL208" s="23" t="b">
        <f t="shared" si="82"/>
        <v>0</v>
      </c>
      <c r="AM208" s="23" t="b">
        <f t="shared" si="83"/>
        <v>0</v>
      </c>
      <c r="AN208" s="23" t="b">
        <f t="shared" si="84"/>
        <v>0</v>
      </c>
      <c r="AO208" s="23" t="b">
        <f t="shared" si="85"/>
        <v>1</v>
      </c>
      <c r="AP208" s="23" t="b">
        <f t="shared" si="86"/>
        <v>0</v>
      </c>
      <c r="AQ208" s="23" t="b">
        <f t="shared" si="87"/>
        <v>0</v>
      </c>
      <c r="AR208" s="23" t="b">
        <f t="shared" si="88"/>
        <v>0</v>
      </c>
      <c r="AS208" s="23" t="b">
        <v>0</v>
      </c>
      <c r="AT208" s="23" t="b">
        <f t="shared" si="89"/>
        <v>1</v>
      </c>
      <c r="AU208" s="23" t="b">
        <f t="shared" si="90"/>
        <v>0</v>
      </c>
      <c r="AV208" s="23" t="b">
        <f t="shared" si="91"/>
        <v>0</v>
      </c>
      <c r="AW208" s="23" t="b">
        <f t="shared" si="92"/>
        <v>0</v>
      </c>
      <c r="AX208" s="23" t="s">
        <v>132</v>
      </c>
      <c r="AY208" s="23" t="b">
        <v>0</v>
      </c>
      <c r="AZ208" s="23" t="s">
        <v>105</v>
      </c>
    </row>
    <row r="209" spans="1:52" x14ac:dyDescent="0.2">
      <c r="A209" s="23">
        <v>257</v>
      </c>
      <c r="B209" s="23" t="s">
        <v>1005</v>
      </c>
      <c r="C209" s="23" t="s">
        <v>1041</v>
      </c>
      <c r="D209" s="23" t="b">
        <v>1</v>
      </c>
      <c r="E209" s="23" t="s">
        <v>1042</v>
      </c>
      <c r="F209" s="23" t="s">
        <v>1043</v>
      </c>
      <c r="G209" s="23" t="s">
        <v>92</v>
      </c>
      <c r="H209" s="23" t="s">
        <v>650</v>
      </c>
      <c r="I209" s="23" t="s">
        <v>1044</v>
      </c>
      <c r="J209" s="23" t="s">
        <v>652</v>
      </c>
      <c r="K209" s="23" t="s">
        <v>653</v>
      </c>
      <c r="L209" s="23" t="s">
        <v>365</v>
      </c>
      <c r="M209" s="23" t="s">
        <v>532</v>
      </c>
      <c r="Q209" s="23">
        <v>2009</v>
      </c>
      <c r="R209" s="23" t="s">
        <v>132</v>
      </c>
      <c r="T209" s="23" t="s">
        <v>654</v>
      </c>
      <c r="U209" s="23" t="s">
        <v>244</v>
      </c>
      <c r="V209" s="23" t="s">
        <v>223</v>
      </c>
      <c r="W209" s="23" t="s">
        <v>103</v>
      </c>
      <c r="X209" s="23" t="s">
        <v>104</v>
      </c>
      <c r="Y209" s="23" t="b">
        <f t="shared" si="70"/>
        <v>0</v>
      </c>
      <c r="Z209" s="23" t="b">
        <f t="shared" si="71"/>
        <v>0</v>
      </c>
      <c r="AA209" s="23" t="b">
        <f t="shared" si="72"/>
        <v>0</v>
      </c>
      <c r="AB209" s="23" t="b">
        <f t="shared" si="73"/>
        <v>0</v>
      </c>
      <c r="AC209" s="23" t="b">
        <f t="shared" si="74"/>
        <v>0</v>
      </c>
      <c r="AD209" s="23" t="b">
        <f t="shared" si="75"/>
        <v>0</v>
      </c>
      <c r="AE209" s="23" t="b">
        <f t="shared" si="76"/>
        <v>0</v>
      </c>
      <c r="AF209" s="23" t="b">
        <f t="shared" si="77"/>
        <v>0</v>
      </c>
      <c r="AG209" s="23" t="b">
        <f t="shared" si="78"/>
        <v>0</v>
      </c>
      <c r="AH209" s="23" t="b">
        <f t="shared" si="79"/>
        <v>0</v>
      </c>
      <c r="AI209" s="23" t="b">
        <f t="shared" si="80"/>
        <v>0</v>
      </c>
      <c r="AJ209" s="23" t="b">
        <v>0</v>
      </c>
      <c r="AK209" s="23" t="b">
        <f t="shared" si="81"/>
        <v>0</v>
      </c>
      <c r="AL209" s="23" t="b">
        <f t="shared" si="82"/>
        <v>0</v>
      </c>
      <c r="AM209" s="23" t="b">
        <f t="shared" si="83"/>
        <v>0</v>
      </c>
      <c r="AN209" s="23" t="b">
        <f t="shared" si="84"/>
        <v>0</v>
      </c>
      <c r="AO209" s="23" t="b">
        <f t="shared" si="85"/>
        <v>1</v>
      </c>
      <c r="AP209" s="23" t="b">
        <f t="shared" si="86"/>
        <v>0</v>
      </c>
      <c r="AQ209" s="23" t="b">
        <f t="shared" si="87"/>
        <v>0</v>
      </c>
      <c r="AR209" s="23" t="b">
        <f t="shared" si="88"/>
        <v>0</v>
      </c>
      <c r="AS209" s="23" t="b">
        <v>0</v>
      </c>
      <c r="AT209" s="23" t="b">
        <f t="shared" si="89"/>
        <v>1</v>
      </c>
      <c r="AU209" s="23" t="b">
        <f t="shared" si="90"/>
        <v>0</v>
      </c>
      <c r="AV209" s="23" t="b">
        <f t="shared" si="91"/>
        <v>0</v>
      </c>
      <c r="AW209" s="23" t="b">
        <f t="shared" si="92"/>
        <v>0</v>
      </c>
      <c r="AX209" s="23" t="s">
        <v>132</v>
      </c>
      <c r="AY209" s="23" t="b">
        <v>0</v>
      </c>
      <c r="AZ209" s="23" t="s">
        <v>105</v>
      </c>
    </row>
    <row r="210" spans="1:52" x14ac:dyDescent="0.2">
      <c r="A210" s="23">
        <v>258</v>
      </c>
      <c r="B210" s="23" t="s">
        <v>1005</v>
      </c>
      <c r="C210" s="23" t="s">
        <v>1045</v>
      </c>
      <c r="D210" s="23" t="b">
        <v>1</v>
      </c>
      <c r="E210" s="23" t="s">
        <v>1046</v>
      </c>
      <c r="F210" s="23" t="s">
        <v>1047</v>
      </c>
      <c r="G210" s="23" t="s">
        <v>92</v>
      </c>
      <c r="H210" s="23" t="s">
        <v>650</v>
      </c>
      <c r="I210" s="23" t="s">
        <v>1048</v>
      </c>
      <c r="J210" s="23" t="s">
        <v>652</v>
      </c>
      <c r="K210" s="23" t="s">
        <v>653</v>
      </c>
      <c r="L210" s="23" t="s">
        <v>365</v>
      </c>
      <c r="M210" s="23" t="s">
        <v>532</v>
      </c>
      <c r="Q210" s="23">
        <v>2009</v>
      </c>
      <c r="R210" s="23" t="s">
        <v>1040</v>
      </c>
      <c r="T210" s="23" t="s">
        <v>654</v>
      </c>
      <c r="U210" s="23" t="s">
        <v>244</v>
      </c>
      <c r="V210" s="23" t="s">
        <v>223</v>
      </c>
      <c r="W210" s="23" t="s">
        <v>103</v>
      </c>
      <c r="X210" s="23" t="s">
        <v>104</v>
      </c>
      <c r="Y210" s="23" t="b">
        <f t="shared" si="70"/>
        <v>0</v>
      </c>
      <c r="Z210" s="23" t="b">
        <f t="shared" si="71"/>
        <v>0</v>
      </c>
      <c r="AA210" s="23" t="b">
        <f t="shared" si="72"/>
        <v>0</v>
      </c>
      <c r="AB210" s="23" t="b">
        <f t="shared" si="73"/>
        <v>0</v>
      </c>
      <c r="AC210" s="23" t="b">
        <f t="shared" si="74"/>
        <v>0</v>
      </c>
      <c r="AD210" s="23" t="b">
        <f t="shared" si="75"/>
        <v>0</v>
      </c>
      <c r="AE210" s="23" t="b">
        <f t="shared" si="76"/>
        <v>0</v>
      </c>
      <c r="AF210" s="23" t="b">
        <f t="shared" si="77"/>
        <v>0</v>
      </c>
      <c r="AG210" s="23" t="b">
        <f t="shared" si="78"/>
        <v>0</v>
      </c>
      <c r="AH210" s="23" t="b">
        <f t="shared" si="79"/>
        <v>0</v>
      </c>
      <c r="AI210" s="23" t="b">
        <f t="shared" si="80"/>
        <v>0</v>
      </c>
      <c r="AJ210" s="23" t="b">
        <v>0</v>
      </c>
      <c r="AK210" s="23" t="b">
        <f t="shared" si="81"/>
        <v>0</v>
      </c>
      <c r="AL210" s="23" t="b">
        <f t="shared" si="82"/>
        <v>0</v>
      </c>
      <c r="AM210" s="23" t="b">
        <f t="shared" si="83"/>
        <v>0</v>
      </c>
      <c r="AN210" s="23" t="b">
        <f t="shared" si="84"/>
        <v>0</v>
      </c>
      <c r="AO210" s="23" t="b">
        <f t="shared" si="85"/>
        <v>1</v>
      </c>
      <c r="AP210" s="23" t="b">
        <f t="shared" si="86"/>
        <v>0</v>
      </c>
      <c r="AQ210" s="23" t="b">
        <f t="shared" si="87"/>
        <v>0</v>
      </c>
      <c r="AR210" s="23" t="b">
        <f t="shared" si="88"/>
        <v>0</v>
      </c>
      <c r="AS210" s="23" t="b">
        <v>0</v>
      </c>
      <c r="AT210" s="23" t="b">
        <f t="shared" si="89"/>
        <v>1</v>
      </c>
      <c r="AU210" s="23" t="b">
        <f t="shared" si="90"/>
        <v>0</v>
      </c>
      <c r="AV210" s="23" t="b">
        <f t="shared" si="91"/>
        <v>0</v>
      </c>
      <c r="AW210" s="23" t="b">
        <f t="shared" si="92"/>
        <v>0</v>
      </c>
      <c r="AX210" s="23" t="s">
        <v>132</v>
      </c>
      <c r="AY210" s="23" t="b">
        <v>0</v>
      </c>
      <c r="AZ210" s="23" t="s">
        <v>105</v>
      </c>
    </row>
    <row r="211" spans="1:52" x14ac:dyDescent="0.2">
      <c r="A211" s="23">
        <v>259</v>
      </c>
      <c r="B211" s="23" t="s">
        <v>1005</v>
      </c>
      <c r="C211" s="23" t="s">
        <v>1049</v>
      </c>
      <c r="D211" s="23" t="b">
        <v>1</v>
      </c>
      <c r="E211" s="23" t="s">
        <v>1050</v>
      </c>
      <c r="F211" s="23" t="s">
        <v>1051</v>
      </c>
      <c r="G211" s="23" t="s">
        <v>92</v>
      </c>
      <c r="H211" s="23" t="s">
        <v>650</v>
      </c>
      <c r="I211" s="23" t="s">
        <v>1052</v>
      </c>
      <c r="J211" s="23" t="s">
        <v>652</v>
      </c>
      <c r="K211" s="23" t="s">
        <v>653</v>
      </c>
      <c r="L211" s="23" t="s">
        <v>365</v>
      </c>
      <c r="M211" s="23" t="s">
        <v>532</v>
      </c>
      <c r="Q211" s="23">
        <v>2009</v>
      </c>
      <c r="R211" s="23" t="s">
        <v>132</v>
      </c>
      <c r="T211" s="23" t="s">
        <v>654</v>
      </c>
      <c r="U211" s="23" t="s">
        <v>244</v>
      </c>
      <c r="V211" s="23" t="s">
        <v>223</v>
      </c>
      <c r="W211" s="23" t="s">
        <v>103</v>
      </c>
      <c r="X211" s="23" t="s">
        <v>104</v>
      </c>
      <c r="Y211" s="23" t="b">
        <f t="shared" si="70"/>
        <v>0</v>
      </c>
      <c r="Z211" s="23" t="b">
        <f t="shared" si="71"/>
        <v>0</v>
      </c>
      <c r="AA211" s="23" t="b">
        <f t="shared" si="72"/>
        <v>0</v>
      </c>
      <c r="AB211" s="23" t="b">
        <f t="shared" si="73"/>
        <v>0</v>
      </c>
      <c r="AC211" s="23" t="b">
        <f t="shared" si="74"/>
        <v>0</v>
      </c>
      <c r="AD211" s="23" t="b">
        <f t="shared" si="75"/>
        <v>0</v>
      </c>
      <c r="AE211" s="23" t="b">
        <f t="shared" si="76"/>
        <v>0</v>
      </c>
      <c r="AF211" s="23" t="b">
        <f t="shared" si="77"/>
        <v>0</v>
      </c>
      <c r="AG211" s="23" t="b">
        <f t="shared" si="78"/>
        <v>0</v>
      </c>
      <c r="AH211" s="23" t="b">
        <f t="shared" si="79"/>
        <v>0</v>
      </c>
      <c r="AI211" s="23" t="b">
        <f t="shared" si="80"/>
        <v>0</v>
      </c>
      <c r="AJ211" s="23" t="b">
        <v>0</v>
      </c>
      <c r="AK211" s="23" t="b">
        <f t="shared" si="81"/>
        <v>0</v>
      </c>
      <c r="AL211" s="23" t="b">
        <f t="shared" si="82"/>
        <v>0</v>
      </c>
      <c r="AM211" s="23" t="b">
        <f t="shared" si="83"/>
        <v>0</v>
      </c>
      <c r="AN211" s="23" t="b">
        <f t="shared" si="84"/>
        <v>0</v>
      </c>
      <c r="AO211" s="23" t="b">
        <f t="shared" si="85"/>
        <v>1</v>
      </c>
      <c r="AP211" s="23" t="b">
        <f t="shared" si="86"/>
        <v>0</v>
      </c>
      <c r="AQ211" s="23" t="b">
        <f t="shared" si="87"/>
        <v>0</v>
      </c>
      <c r="AR211" s="23" t="b">
        <f t="shared" si="88"/>
        <v>0</v>
      </c>
      <c r="AS211" s="23" t="b">
        <v>0</v>
      </c>
      <c r="AT211" s="23" t="b">
        <f t="shared" si="89"/>
        <v>1</v>
      </c>
      <c r="AU211" s="23" t="b">
        <f t="shared" si="90"/>
        <v>0</v>
      </c>
      <c r="AV211" s="23" t="b">
        <f t="shared" si="91"/>
        <v>0</v>
      </c>
      <c r="AW211" s="23" t="b">
        <f t="shared" si="92"/>
        <v>0</v>
      </c>
      <c r="AX211" s="23" t="s">
        <v>132</v>
      </c>
      <c r="AY211" s="23" t="b">
        <v>0</v>
      </c>
      <c r="AZ211" s="23" t="s">
        <v>105</v>
      </c>
    </row>
    <row r="212" spans="1:52" x14ac:dyDescent="0.2">
      <c r="A212" s="23">
        <v>260</v>
      </c>
      <c r="B212" s="23" t="s">
        <v>1005</v>
      </c>
      <c r="C212" s="23" t="s">
        <v>1053</v>
      </c>
      <c r="D212" s="23" t="b">
        <v>1</v>
      </c>
      <c r="E212" s="23" t="s">
        <v>1054</v>
      </c>
      <c r="F212" s="23" t="s">
        <v>1055</v>
      </c>
      <c r="G212" s="23" t="s">
        <v>92</v>
      </c>
      <c r="H212" s="23" t="s">
        <v>650</v>
      </c>
      <c r="I212" s="23" t="s">
        <v>1056</v>
      </c>
      <c r="J212" s="23" t="s">
        <v>652</v>
      </c>
      <c r="K212" s="23" t="s">
        <v>653</v>
      </c>
      <c r="L212" s="23" t="s">
        <v>365</v>
      </c>
      <c r="M212" s="23" t="s">
        <v>532</v>
      </c>
      <c r="Q212" s="23">
        <v>2009</v>
      </c>
      <c r="R212" s="23" t="s">
        <v>1040</v>
      </c>
      <c r="T212" s="23" t="s">
        <v>654</v>
      </c>
      <c r="U212" s="23" t="s">
        <v>244</v>
      </c>
      <c r="V212" s="23" t="s">
        <v>223</v>
      </c>
      <c r="W212" s="23" t="s">
        <v>103</v>
      </c>
      <c r="X212" s="23" t="s">
        <v>104</v>
      </c>
      <c r="Y212" s="23" t="b">
        <f t="shared" si="70"/>
        <v>0</v>
      </c>
      <c r="Z212" s="23" t="b">
        <f t="shared" si="71"/>
        <v>0</v>
      </c>
      <c r="AA212" s="23" t="b">
        <f t="shared" si="72"/>
        <v>0</v>
      </c>
      <c r="AB212" s="23" t="b">
        <f t="shared" si="73"/>
        <v>0</v>
      </c>
      <c r="AC212" s="23" t="b">
        <f t="shared" si="74"/>
        <v>0</v>
      </c>
      <c r="AD212" s="23" t="b">
        <f t="shared" si="75"/>
        <v>0</v>
      </c>
      <c r="AE212" s="23" t="b">
        <f t="shared" si="76"/>
        <v>0</v>
      </c>
      <c r="AF212" s="23" t="b">
        <f t="shared" si="77"/>
        <v>0</v>
      </c>
      <c r="AG212" s="23" t="b">
        <f t="shared" si="78"/>
        <v>0</v>
      </c>
      <c r="AH212" s="23" t="b">
        <f t="shared" si="79"/>
        <v>0</v>
      </c>
      <c r="AI212" s="23" t="b">
        <f t="shared" si="80"/>
        <v>0</v>
      </c>
      <c r="AJ212" s="23" t="b">
        <v>0</v>
      </c>
      <c r="AK212" s="23" t="b">
        <f t="shared" si="81"/>
        <v>0</v>
      </c>
      <c r="AL212" s="23" t="b">
        <f t="shared" si="82"/>
        <v>0</v>
      </c>
      <c r="AM212" s="23" t="b">
        <f t="shared" si="83"/>
        <v>0</v>
      </c>
      <c r="AN212" s="23" t="b">
        <f t="shared" si="84"/>
        <v>0</v>
      </c>
      <c r="AO212" s="23" t="b">
        <f t="shared" si="85"/>
        <v>1</v>
      </c>
      <c r="AP212" s="23" t="b">
        <f t="shared" si="86"/>
        <v>0</v>
      </c>
      <c r="AQ212" s="23" t="b">
        <f t="shared" si="87"/>
        <v>0</v>
      </c>
      <c r="AR212" s="23" t="b">
        <f t="shared" si="88"/>
        <v>0</v>
      </c>
      <c r="AS212" s="23" t="b">
        <v>0</v>
      </c>
      <c r="AT212" s="23" t="b">
        <f t="shared" si="89"/>
        <v>1</v>
      </c>
      <c r="AU212" s="23" t="b">
        <f t="shared" si="90"/>
        <v>0</v>
      </c>
      <c r="AV212" s="23" t="b">
        <f t="shared" si="91"/>
        <v>0</v>
      </c>
      <c r="AW212" s="23" t="b">
        <f t="shared" si="92"/>
        <v>0</v>
      </c>
      <c r="AX212" s="23" t="s">
        <v>132</v>
      </c>
      <c r="AY212" s="23" t="b">
        <v>0</v>
      </c>
      <c r="AZ212" s="23" t="s">
        <v>105</v>
      </c>
    </row>
    <row r="213" spans="1:52" x14ac:dyDescent="0.2">
      <c r="A213" s="23">
        <v>261</v>
      </c>
      <c r="B213" s="23" t="s">
        <v>1005</v>
      </c>
      <c r="C213" s="23" t="s">
        <v>1057</v>
      </c>
      <c r="D213" s="23" t="b">
        <v>1</v>
      </c>
      <c r="E213" s="23" t="s">
        <v>1058</v>
      </c>
      <c r="F213" s="23" t="s">
        <v>1059</v>
      </c>
      <c r="G213" s="23" t="s">
        <v>92</v>
      </c>
      <c r="H213" s="23" t="s">
        <v>650</v>
      </c>
      <c r="I213" s="23" t="s">
        <v>1060</v>
      </c>
      <c r="J213" s="23" t="s">
        <v>652</v>
      </c>
      <c r="K213" s="23" t="s">
        <v>653</v>
      </c>
      <c r="L213" s="23" t="s">
        <v>365</v>
      </c>
      <c r="M213" s="23" t="s">
        <v>532</v>
      </c>
      <c r="Q213" s="23">
        <v>2009</v>
      </c>
      <c r="R213" s="23" t="s">
        <v>132</v>
      </c>
      <c r="T213" s="23" t="s">
        <v>654</v>
      </c>
      <c r="U213" s="23" t="s">
        <v>244</v>
      </c>
      <c r="V213" s="23" t="s">
        <v>223</v>
      </c>
      <c r="W213" s="23" t="s">
        <v>103</v>
      </c>
      <c r="X213" s="23" t="s">
        <v>104</v>
      </c>
      <c r="Y213" s="23" t="b">
        <f t="shared" si="70"/>
        <v>0</v>
      </c>
      <c r="Z213" s="23" t="b">
        <f t="shared" si="71"/>
        <v>0</v>
      </c>
      <c r="AA213" s="23" t="b">
        <f t="shared" si="72"/>
        <v>0</v>
      </c>
      <c r="AB213" s="23" t="b">
        <f t="shared" si="73"/>
        <v>0</v>
      </c>
      <c r="AC213" s="23" t="b">
        <f t="shared" si="74"/>
        <v>0</v>
      </c>
      <c r="AD213" s="23" t="b">
        <f t="shared" si="75"/>
        <v>0</v>
      </c>
      <c r="AE213" s="23" t="b">
        <f t="shared" si="76"/>
        <v>0</v>
      </c>
      <c r="AF213" s="23" t="b">
        <f t="shared" si="77"/>
        <v>0</v>
      </c>
      <c r="AG213" s="23" t="b">
        <f t="shared" si="78"/>
        <v>0</v>
      </c>
      <c r="AH213" s="23" t="b">
        <f t="shared" si="79"/>
        <v>0</v>
      </c>
      <c r="AI213" s="23" t="b">
        <f t="shared" si="80"/>
        <v>0</v>
      </c>
      <c r="AJ213" s="23" t="b">
        <v>0</v>
      </c>
      <c r="AK213" s="23" t="b">
        <f t="shared" si="81"/>
        <v>0</v>
      </c>
      <c r="AL213" s="23" t="b">
        <f t="shared" si="82"/>
        <v>0</v>
      </c>
      <c r="AM213" s="23" t="b">
        <f t="shared" si="83"/>
        <v>0</v>
      </c>
      <c r="AN213" s="23" t="b">
        <f t="shared" si="84"/>
        <v>0</v>
      </c>
      <c r="AO213" s="23" t="b">
        <f t="shared" si="85"/>
        <v>1</v>
      </c>
      <c r="AP213" s="23" t="b">
        <f t="shared" si="86"/>
        <v>0</v>
      </c>
      <c r="AQ213" s="23" t="b">
        <f t="shared" si="87"/>
        <v>0</v>
      </c>
      <c r="AR213" s="23" t="b">
        <f t="shared" si="88"/>
        <v>0</v>
      </c>
      <c r="AS213" s="23" t="b">
        <v>0</v>
      </c>
      <c r="AT213" s="23" t="b">
        <f t="shared" si="89"/>
        <v>1</v>
      </c>
      <c r="AU213" s="23" t="b">
        <f t="shared" si="90"/>
        <v>0</v>
      </c>
      <c r="AV213" s="23" t="b">
        <f t="shared" si="91"/>
        <v>0</v>
      </c>
      <c r="AW213" s="23" t="b">
        <f t="shared" si="92"/>
        <v>0</v>
      </c>
      <c r="AX213" s="23" t="s">
        <v>132</v>
      </c>
      <c r="AY213" s="23" t="b">
        <v>0</v>
      </c>
      <c r="AZ213" s="23" t="s">
        <v>105</v>
      </c>
    </row>
    <row r="214" spans="1:52" x14ac:dyDescent="0.2">
      <c r="A214" s="23">
        <v>262</v>
      </c>
      <c r="B214" s="23" t="s">
        <v>1005</v>
      </c>
      <c r="C214" s="23" t="s">
        <v>1061</v>
      </c>
      <c r="D214" s="23" t="b">
        <v>1</v>
      </c>
      <c r="E214" s="23" t="s">
        <v>1062</v>
      </c>
      <c r="F214" s="23" t="s">
        <v>1063</v>
      </c>
      <c r="G214" s="23" t="s">
        <v>92</v>
      </c>
      <c r="H214" s="23" t="s">
        <v>650</v>
      </c>
      <c r="I214" s="23" t="s">
        <v>1064</v>
      </c>
      <c r="J214" s="23" t="s">
        <v>652</v>
      </c>
      <c r="K214" s="23" t="s">
        <v>653</v>
      </c>
      <c r="L214" s="23" t="s">
        <v>365</v>
      </c>
      <c r="M214" s="23" t="s">
        <v>532</v>
      </c>
      <c r="Q214" s="23">
        <v>2009</v>
      </c>
      <c r="R214" s="23" t="s">
        <v>119</v>
      </c>
      <c r="T214" s="23" t="s">
        <v>654</v>
      </c>
      <c r="U214" s="23" t="s">
        <v>244</v>
      </c>
      <c r="V214" s="23" t="s">
        <v>223</v>
      </c>
      <c r="W214" s="23" t="s">
        <v>103</v>
      </c>
      <c r="X214" s="23" t="s">
        <v>104</v>
      </c>
      <c r="Y214" s="23" t="b">
        <f t="shared" si="70"/>
        <v>0</v>
      </c>
      <c r="Z214" s="23" t="b">
        <f t="shared" si="71"/>
        <v>0</v>
      </c>
      <c r="AA214" s="23" t="b">
        <f t="shared" si="72"/>
        <v>0</v>
      </c>
      <c r="AB214" s="23" t="b">
        <f t="shared" si="73"/>
        <v>0</v>
      </c>
      <c r="AC214" s="23" t="b">
        <f t="shared" si="74"/>
        <v>0</v>
      </c>
      <c r="AD214" s="23" t="b">
        <f t="shared" si="75"/>
        <v>0</v>
      </c>
      <c r="AE214" s="23" t="b">
        <f t="shared" si="76"/>
        <v>0</v>
      </c>
      <c r="AF214" s="23" t="b">
        <f t="shared" si="77"/>
        <v>0</v>
      </c>
      <c r="AG214" s="23" t="b">
        <f t="shared" si="78"/>
        <v>0</v>
      </c>
      <c r="AH214" s="23" t="b">
        <f t="shared" si="79"/>
        <v>0</v>
      </c>
      <c r="AI214" s="23" t="b">
        <f t="shared" si="80"/>
        <v>0</v>
      </c>
      <c r="AJ214" s="23" t="b">
        <v>0</v>
      </c>
      <c r="AK214" s="23" t="b">
        <f t="shared" si="81"/>
        <v>0</v>
      </c>
      <c r="AL214" s="23" t="b">
        <f t="shared" si="82"/>
        <v>0</v>
      </c>
      <c r="AM214" s="23" t="b">
        <f t="shared" si="83"/>
        <v>0</v>
      </c>
      <c r="AN214" s="23" t="b">
        <f t="shared" si="84"/>
        <v>0</v>
      </c>
      <c r="AO214" s="23" t="b">
        <f t="shared" si="85"/>
        <v>1</v>
      </c>
      <c r="AP214" s="23" t="b">
        <f t="shared" si="86"/>
        <v>0</v>
      </c>
      <c r="AQ214" s="23" t="b">
        <f t="shared" si="87"/>
        <v>0</v>
      </c>
      <c r="AR214" s="23" t="b">
        <f t="shared" si="88"/>
        <v>0</v>
      </c>
      <c r="AS214" s="23" t="b">
        <v>0</v>
      </c>
      <c r="AT214" s="23" t="b">
        <f t="shared" si="89"/>
        <v>1</v>
      </c>
      <c r="AU214" s="23" t="b">
        <f t="shared" si="90"/>
        <v>0</v>
      </c>
      <c r="AV214" s="23" t="b">
        <f t="shared" si="91"/>
        <v>0</v>
      </c>
      <c r="AW214" s="23" t="b">
        <f t="shared" si="92"/>
        <v>0</v>
      </c>
      <c r="AX214" s="23" t="s">
        <v>99</v>
      </c>
      <c r="AY214" s="23" t="b">
        <v>0</v>
      </c>
      <c r="AZ214" s="23" t="s">
        <v>105</v>
      </c>
    </row>
    <row r="215" spans="1:52" x14ac:dyDescent="0.2">
      <c r="A215" s="23">
        <v>263</v>
      </c>
      <c r="B215" s="23" t="s">
        <v>1005</v>
      </c>
      <c r="C215" s="23" t="s">
        <v>1065</v>
      </c>
      <c r="D215" s="23" t="b">
        <v>1</v>
      </c>
      <c r="E215" s="23" t="s">
        <v>1066</v>
      </c>
      <c r="F215" s="23" t="s">
        <v>1067</v>
      </c>
      <c r="G215" s="23" t="s">
        <v>92</v>
      </c>
      <c r="H215" s="23" t="s">
        <v>650</v>
      </c>
      <c r="I215" s="23" t="s">
        <v>1068</v>
      </c>
      <c r="J215" s="23" t="s">
        <v>652</v>
      </c>
      <c r="K215" s="23" t="s">
        <v>653</v>
      </c>
      <c r="L215" s="23" t="s">
        <v>1069</v>
      </c>
      <c r="M215" s="23" t="s">
        <v>532</v>
      </c>
      <c r="Q215" s="23">
        <v>2009</v>
      </c>
      <c r="R215" s="23" t="s">
        <v>1070</v>
      </c>
      <c r="T215" s="23" t="s">
        <v>654</v>
      </c>
      <c r="U215" s="23" t="s">
        <v>244</v>
      </c>
      <c r="V215" s="23" t="s">
        <v>223</v>
      </c>
      <c r="W215" s="23" t="s">
        <v>103</v>
      </c>
      <c r="X215" s="23" t="s">
        <v>104</v>
      </c>
      <c r="Y215" s="23" t="b">
        <f t="shared" si="70"/>
        <v>0</v>
      </c>
      <c r="Z215" s="23" t="b">
        <f t="shared" si="71"/>
        <v>0</v>
      </c>
      <c r="AA215" s="23" t="b">
        <f t="shared" si="72"/>
        <v>0</v>
      </c>
      <c r="AB215" s="23" t="b">
        <f t="shared" si="73"/>
        <v>0</v>
      </c>
      <c r="AC215" s="23" t="b">
        <f t="shared" si="74"/>
        <v>0</v>
      </c>
      <c r="AD215" s="23" t="b">
        <f t="shared" si="75"/>
        <v>0</v>
      </c>
      <c r="AE215" s="23" t="b">
        <f t="shared" si="76"/>
        <v>0</v>
      </c>
      <c r="AF215" s="23" t="b">
        <f t="shared" si="77"/>
        <v>0</v>
      </c>
      <c r="AG215" s="23" t="b">
        <f t="shared" si="78"/>
        <v>0</v>
      </c>
      <c r="AH215" s="23" t="b">
        <f t="shared" si="79"/>
        <v>0</v>
      </c>
      <c r="AI215" s="23" t="b">
        <f t="shared" si="80"/>
        <v>0</v>
      </c>
      <c r="AJ215" s="23" t="b">
        <v>0</v>
      </c>
      <c r="AK215" s="23" t="b">
        <f t="shared" si="81"/>
        <v>0</v>
      </c>
      <c r="AL215" s="23" t="b">
        <f t="shared" si="82"/>
        <v>0</v>
      </c>
      <c r="AM215" s="23" t="b">
        <f t="shared" si="83"/>
        <v>0</v>
      </c>
      <c r="AN215" s="23" t="b">
        <f t="shared" si="84"/>
        <v>0</v>
      </c>
      <c r="AO215" s="23" t="b">
        <f t="shared" si="85"/>
        <v>1</v>
      </c>
      <c r="AP215" s="23" t="b">
        <f t="shared" si="86"/>
        <v>0</v>
      </c>
      <c r="AQ215" s="23" t="b">
        <f t="shared" si="87"/>
        <v>0</v>
      </c>
      <c r="AR215" s="23" t="b">
        <f t="shared" si="88"/>
        <v>0</v>
      </c>
      <c r="AS215" s="23" t="b">
        <v>0</v>
      </c>
      <c r="AT215" s="23" t="b">
        <f t="shared" si="89"/>
        <v>1</v>
      </c>
      <c r="AU215" s="23" t="b">
        <f t="shared" si="90"/>
        <v>1</v>
      </c>
      <c r="AV215" s="23" t="b">
        <f t="shared" si="91"/>
        <v>0</v>
      </c>
      <c r="AW215" s="23" t="b">
        <f t="shared" si="92"/>
        <v>0</v>
      </c>
      <c r="AX215" s="23" t="s">
        <v>132</v>
      </c>
      <c r="AY215" s="23" t="b">
        <v>0</v>
      </c>
      <c r="AZ215" s="23" t="s">
        <v>105</v>
      </c>
    </row>
    <row r="216" spans="1:52" x14ac:dyDescent="0.2">
      <c r="A216" s="23">
        <v>264</v>
      </c>
      <c r="B216" s="23" t="s">
        <v>1005</v>
      </c>
      <c r="C216" s="23" t="s">
        <v>1071</v>
      </c>
      <c r="D216" s="23" t="b">
        <v>1</v>
      </c>
      <c r="E216" s="23" t="s">
        <v>1072</v>
      </c>
      <c r="F216" s="23" t="s">
        <v>1073</v>
      </c>
      <c r="G216" s="23" t="s">
        <v>92</v>
      </c>
      <c r="H216" s="23" t="s">
        <v>650</v>
      </c>
      <c r="I216" s="23" t="s">
        <v>1074</v>
      </c>
      <c r="J216" s="23" t="s">
        <v>652</v>
      </c>
      <c r="K216" s="23" t="s">
        <v>653</v>
      </c>
      <c r="L216" s="23" t="s">
        <v>1069</v>
      </c>
      <c r="M216" s="23" t="s">
        <v>532</v>
      </c>
      <c r="Q216" s="23">
        <v>2009</v>
      </c>
      <c r="R216" s="23" t="s">
        <v>132</v>
      </c>
      <c r="T216" s="23" t="s">
        <v>654</v>
      </c>
      <c r="U216" s="23" t="s">
        <v>244</v>
      </c>
      <c r="V216" s="23" t="s">
        <v>223</v>
      </c>
      <c r="W216" s="23" t="s">
        <v>103</v>
      </c>
      <c r="X216" s="23" t="s">
        <v>104</v>
      </c>
      <c r="Y216" s="23" t="b">
        <f t="shared" si="70"/>
        <v>0</v>
      </c>
      <c r="Z216" s="23" t="b">
        <f t="shared" si="71"/>
        <v>0</v>
      </c>
      <c r="AA216" s="23" t="b">
        <f t="shared" si="72"/>
        <v>0</v>
      </c>
      <c r="AB216" s="23" t="b">
        <f t="shared" si="73"/>
        <v>0</v>
      </c>
      <c r="AC216" s="23" t="b">
        <f t="shared" si="74"/>
        <v>0</v>
      </c>
      <c r="AD216" s="23" t="b">
        <f t="shared" si="75"/>
        <v>0</v>
      </c>
      <c r="AE216" s="23" t="b">
        <f t="shared" si="76"/>
        <v>0</v>
      </c>
      <c r="AF216" s="23" t="b">
        <f t="shared" si="77"/>
        <v>0</v>
      </c>
      <c r="AG216" s="23" t="b">
        <f t="shared" si="78"/>
        <v>0</v>
      </c>
      <c r="AH216" s="23" t="b">
        <f t="shared" si="79"/>
        <v>0</v>
      </c>
      <c r="AI216" s="23" t="b">
        <f t="shared" si="80"/>
        <v>0</v>
      </c>
      <c r="AJ216" s="23" t="b">
        <v>0</v>
      </c>
      <c r="AK216" s="23" t="b">
        <f t="shared" si="81"/>
        <v>0</v>
      </c>
      <c r="AL216" s="23" t="b">
        <f t="shared" si="82"/>
        <v>0</v>
      </c>
      <c r="AM216" s="23" t="b">
        <f t="shared" si="83"/>
        <v>0</v>
      </c>
      <c r="AN216" s="23" t="b">
        <f t="shared" si="84"/>
        <v>0</v>
      </c>
      <c r="AO216" s="23" t="b">
        <f t="shared" si="85"/>
        <v>1</v>
      </c>
      <c r="AP216" s="23" t="b">
        <f t="shared" si="86"/>
        <v>0</v>
      </c>
      <c r="AQ216" s="23" t="b">
        <f t="shared" si="87"/>
        <v>0</v>
      </c>
      <c r="AR216" s="23" t="b">
        <f t="shared" si="88"/>
        <v>0</v>
      </c>
      <c r="AS216" s="23" t="b">
        <v>0</v>
      </c>
      <c r="AT216" s="23" t="b">
        <f t="shared" si="89"/>
        <v>1</v>
      </c>
      <c r="AU216" s="23" t="b">
        <f t="shared" si="90"/>
        <v>1</v>
      </c>
      <c r="AV216" s="23" t="b">
        <f t="shared" si="91"/>
        <v>0</v>
      </c>
      <c r="AW216" s="23" t="b">
        <f t="shared" si="92"/>
        <v>0</v>
      </c>
      <c r="AX216" s="23" t="s">
        <v>132</v>
      </c>
      <c r="AY216" s="23" t="b">
        <v>0</v>
      </c>
      <c r="AZ216" s="23" t="s">
        <v>105</v>
      </c>
    </row>
    <row r="217" spans="1:52" x14ac:dyDescent="0.2">
      <c r="A217" s="23">
        <v>265</v>
      </c>
      <c r="B217" s="23" t="s">
        <v>1005</v>
      </c>
      <c r="C217" s="23" t="s">
        <v>1076</v>
      </c>
      <c r="D217" s="23" t="b">
        <v>1</v>
      </c>
      <c r="E217" s="23" t="s">
        <v>1072</v>
      </c>
      <c r="F217" s="23" t="s">
        <v>1077</v>
      </c>
      <c r="G217" s="23" t="s">
        <v>92</v>
      </c>
      <c r="H217" s="23" t="s">
        <v>650</v>
      </c>
      <c r="I217" s="23" t="s">
        <v>1078</v>
      </c>
      <c r="J217" s="23" t="s">
        <v>652</v>
      </c>
      <c r="K217" s="23" t="s">
        <v>653</v>
      </c>
      <c r="L217" s="23" t="s">
        <v>1069</v>
      </c>
      <c r="M217" s="23" t="s">
        <v>532</v>
      </c>
      <c r="Q217" s="23">
        <v>2009</v>
      </c>
      <c r="R217" s="23" t="s">
        <v>132</v>
      </c>
      <c r="T217" s="23" t="s">
        <v>654</v>
      </c>
      <c r="U217" s="23" t="s">
        <v>244</v>
      </c>
      <c r="V217" s="23" t="s">
        <v>223</v>
      </c>
      <c r="W217" s="23" t="s">
        <v>103</v>
      </c>
      <c r="X217" s="23" t="s">
        <v>104</v>
      </c>
      <c r="Y217" s="23" t="b">
        <f t="shared" si="70"/>
        <v>0</v>
      </c>
      <c r="Z217" s="23" t="b">
        <f t="shared" si="71"/>
        <v>0</v>
      </c>
      <c r="AA217" s="23" t="b">
        <f t="shared" si="72"/>
        <v>0</v>
      </c>
      <c r="AB217" s="23" t="b">
        <f t="shared" si="73"/>
        <v>0</v>
      </c>
      <c r="AC217" s="23" t="b">
        <f t="shared" si="74"/>
        <v>0</v>
      </c>
      <c r="AD217" s="23" t="b">
        <f t="shared" si="75"/>
        <v>0</v>
      </c>
      <c r="AE217" s="23" t="b">
        <f t="shared" si="76"/>
        <v>0</v>
      </c>
      <c r="AF217" s="23" t="b">
        <f t="shared" si="77"/>
        <v>0</v>
      </c>
      <c r="AG217" s="23" t="b">
        <f t="shared" si="78"/>
        <v>0</v>
      </c>
      <c r="AH217" s="23" t="b">
        <f t="shared" si="79"/>
        <v>0</v>
      </c>
      <c r="AI217" s="23" t="b">
        <f t="shared" si="80"/>
        <v>0</v>
      </c>
      <c r="AJ217" s="23" t="b">
        <v>0</v>
      </c>
      <c r="AK217" s="23" t="b">
        <f t="shared" si="81"/>
        <v>0</v>
      </c>
      <c r="AL217" s="23" t="b">
        <f t="shared" si="82"/>
        <v>0</v>
      </c>
      <c r="AM217" s="23" t="b">
        <f t="shared" si="83"/>
        <v>0</v>
      </c>
      <c r="AN217" s="23" t="b">
        <f t="shared" si="84"/>
        <v>0</v>
      </c>
      <c r="AO217" s="23" t="b">
        <f t="shared" si="85"/>
        <v>1</v>
      </c>
      <c r="AP217" s="23" t="b">
        <f t="shared" si="86"/>
        <v>0</v>
      </c>
      <c r="AQ217" s="23" t="b">
        <f t="shared" si="87"/>
        <v>0</v>
      </c>
      <c r="AR217" s="23" t="b">
        <f t="shared" si="88"/>
        <v>0</v>
      </c>
      <c r="AS217" s="23" t="b">
        <v>0</v>
      </c>
      <c r="AT217" s="23" t="b">
        <f t="shared" si="89"/>
        <v>1</v>
      </c>
      <c r="AU217" s="23" t="b">
        <f t="shared" si="90"/>
        <v>1</v>
      </c>
      <c r="AV217" s="23" t="b">
        <f t="shared" si="91"/>
        <v>0</v>
      </c>
      <c r="AW217" s="23" t="b">
        <f t="shared" si="92"/>
        <v>0</v>
      </c>
      <c r="AX217" s="23" t="s">
        <v>132</v>
      </c>
      <c r="AY217" s="23" t="b">
        <v>0</v>
      </c>
      <c r="AZ217" s="23" t="s">
        <v>105</v>
      </c>
    </row>
    <row r="218" spans="1:52" x14ac:dyDescent="0.2">
      <c r="A218" s="23">
        <v>266</v>
      </c>
      <c r="B218" s="23" t="s">
        <v>1005</v>
      </c>
      <c r="C218" s="23" t="s">
        <v>1079</v>
      </c>
      <c r="D218" s="23" t="b">
        <v>1</v>
      </c>
      <c r="E218" s="23" t="s">
        <v>1072</v>
      </c>
      <c r="F218" s="23" t="s">
        <v>1080</v>
      </c>
      <c r="G218" s="23" t="s">
        <v>92</v>
      </c>
      <c r="H218" s="23" t="s">
        <v>650</v>
      </c>
      <c r="I218" s="23" t="s">
        <v>1081</v>
      </c>
      <c r="J218" s="23" t="s">
        <v>652</v>
      </c>
      <c r="K218" s="23" t="s">
        <v>653</v>
      </c>
      <c r="L218" s="23" t="s">
        <v>1069</v>
      </c>
      <c r="M218" s="23" t="s">
        <v>532</v>
      </c>
      <c r="Q218" s="23">
        <v>2009</v>
      </c>
      <c r="R218" s="23" t="s">
        <v>132</v>
      </c>
      <c r="T218" s="23" t="s">
        <v>654</v>
      </c>
      <c r="U218" s="23" t="s">
        <v>244</v>
      </c>
      <c r="V218" s="23" t="s">
        <v>223</v>
      </c>
      <c r="W218" s="23" t="s">
        <v>103</v>
      </c>
      <c r="X218" s="23" t="s">
        <v>104</v>
      </c>
      <c r="Y218" s="23" t="b">
        <f t="shared" si="70"/>
        <v>0</v>
      </c>
      <c r="Z218" s="23" t="b">
        <f t="shared" si="71"/>
        <v>0</v>
      </c>
      <c r="AA218" s="23" t="b">
        <f t="shared" si="72"/>
        <v>0</v>
      </c>
      <c r="AB218" s="23" t="b">
        <f t="shared" si="73"/>
        <v>0</v>
      </c>
      <c r="AC218" s="23" t="b">
        <f t="shared" si="74"/>
        <v>0</v>
      </c>
      <c r="AD218" s="23" t="b">
        <f t="shared" si="75"/>
        <v>0</v>
      </c>
      <c r="AE218" s="23" t="b">
        <f t="shared" si="76"/>
        <v>0</v>
      </c>
      <c r="AF218" s="23" t="b">
        <f t="shared" si="77"/>
        <v>0</v>
      </c>
      <c r="AG218" s="23" t="b">
        <f t="shared" si="78"/>
        <v>0</v>
      </c>
      <c r="AH218" s="23" t="b">
        <f t="shared" si="79"/>
        <v>0</v>
      </c>
      <c r="AI218" s="23" t="b">
        <f t="shared" si="80"/>
        <v>0</v>
      </c>
      <c r="AJ218" s="23" t="b">
        <v>0</v>
      </c>
      <c r="AK218" s="23" t="b">
        <f t="shared" si="81"/>
        <v>0</v>
      </c>
      <c r="AL218" s="23" t="b">
        <f t="shared" si="82"/>
        <v>0</v>
      </c>
      <c r="AM218" s="23" t="b">
        <f t="shared" si="83"/>
        <v>0</v>
      </c>
      <c r="AN218" s="23" t="b">
        <f t="shared" si="84"/>
        <v>0</v>
      </c>
      <c r="AO218" s="23" t="b">
        <f t="shared" si="85"/>
        <v>1</v>
      </c>
      <c r="AP218" s="23" t="b">
        <f t="shared" si="86"/>
        <v>0</v>
      </c>
      <c r="AQ218" s="23" t="b">
        <f t="shared" si="87"/>
        <v>0</v>
      </c>
      <c r="AR218" s="23" t="b">
        <f t="shared" si="88"/>
        <v>0</v>
      </c>
      <c r="AS218" s="23" t="b">
        <v>0</v>
      </c>
      <c r="AT218" s="23" t="b">
        <f t="shared" si="89"/>
        <v>1</v>
      </c>
      <c r="AU218" s="23" t="b">
        <f t="shared" si="90"/>
        <v>1</v>
      </c>
      <c r="AV218" s="23" t="b">
        <f t="shared" si="91"/>
        <v>0</v>
      </c>
      <c r="AW218" s="23" t="b">
        <f t="shared" si="92"/>
        <v>0</v>
      </c>
      <c r="AX218" s="23" t="s">
        <v>132</v>
      </c>
      <c r="AY218" s="23" t="b">
        <v>0</v>
      </c>
      <c r="AZ218" s="23" t="s">
        <v>105</v>
      </c>
    </row>
    <row r="219" spans="1:52" x14ac:dyDescent="0.2">
      <c r="A219" s="23">
        <v>267</v>
      </c>
      <c r="B219" s="23" t="s">
        <v>1005</v>
      </c>
      <c r="C219" s="23" t="s">
        <v>1082</v>
      </c>
      <c r="D219" s="23" t="b">
        <v>1</v>
      </c>
      <c r="E219" s="23" t="s">
        <v>1083</v>
      </c>
      <c r="F219" s="23" t="s">
        <v>1084</v>
      </c>
      <c r="G219" s="23" t="s">
        <v>92</v>
      </c>
      <c r="H219" s="23" t="s">
        <v>650</v>
      </c>
      <c r="I219" s="23" t="s">
        <v>1085</v>
      </c>
      <c r="J219" s="23" t="s">
        <v>652</v>
      </c>
      <c r="K219" s="23" t="s">
        <v>653</v>
      </c>
      <c r="L219" s="23" t="s">
        <v>1069</v>
      </c>
      <c r="M219" s="23" t="s">
        <v>532</v>
      </c>
      <c r="Q219" s="23">
        <v>2009</v>
      </c>
      <c r="R219" s="23" t="s">
        <v>132</v>
      </c>
      <c r="T219" s="23" t="s">
        <v>654</v>
      </c>
      <c r="U219" s="23" t="s">
        <v>244</v>
      </c>
      <c r="V219" s="23" t="s">
        <v>223</v>
      </c>
      <c r="W219" s="23" t="s">
        <v>103</v>
      </c>
      <c r="X219" s="23" t="s">
        <v>104</v>
      </c>
      <c r="Y219" s="23" t="b">
        <f t="shared" si="70"/>
        <v>0</v>
      </c>
      <c r="Z219" s="23" t="b">
        <f t="shared" si="71"/>
        <v>0</v>
      </c>
      <c r="AA219" s="23" t="b">
        <f t="shared" si="72"/>
        <v>0</v>
      </c>
      <c r="AB219" s="23" t="b">
        <f t="shared" si="73"/>
        <v>0</v>
      </c>
      <c r="AC219" s="23" t="b">
        <f t="shared" si="74"/>
        <v>0</v>
      </c>
      <c r="AD219" s="23" t="b">
        <f t="shared" si="75"/>
        <v>0</v>
      </c>
      <c r="AE219" s="23" t="b">
        <f t="shared" si="76"/>
        <v>0</v>
      </c>
      <c r="AF219" s="23" t="b">
        <f t="shared" si="77"/>
        <v>0</v>
      </c>
      <c r="AG219" s="23" t="b">
        <f t="shared" si="78"/>
        <v>0</v>
      </c>
      <c r="AH219" s="23" t="b">
        <f t="shared" si="79"/>
        <v>0</v>
      </c>
      <c r="AI219" s="23" t="b">
        <f t="shared" si="80"/>
        <v>0</v>
      </c>
      <c r="AJ219" s="23" t="b">
        <v>0</v>
      </c>
      <c r="AK219" s="23" t="b">
        <f t="shared" si="81"/>
        <v>0</v>
      </c>
      <c r="AL219" s="23" t="b">
        <f t="shared" si="82"/>
        <v>0</v>
      </c>
      <c r="AM219" s="23" t="b">
        <f t="shared" si="83"/>
        <v>0</v>
      </c>
      <c r="AN219" s="23" t="b">
        <f t="shared" si="84"/>
        <v>0</v>
      </c>
      <c r="AO219" s="23" t="b">
        <f t="shared" si="85"/>
        <v>1</v>
      </c>
      <c r="AP219" s="23" t="b">
        <f t="shared" si="86"/>
        <v>0</v>
      </c>
      <c r="AQ219" s="23" t="b">
        <f t="shared" si="87"/>
        <v>0</v>
      </c>
      <c r="AR219" s="23" t="b">
        <f t="shared" si="88"/>
        <v>0</v>
      </c>
      <c r="AS219" s="23" t="b">
        <v>0</v>
      </c>
      <c r="AT219" s="23" t="b">
        <f t="shared" si="89"/>
        <v>1</v>
      </c>
      <c r="AU219" s="23" t="b">
        <f t="shared" si="90"/>
        <v>1</v>
      </c>
      <c r="AV219" s="23" t="b">
        <f t="shared" si="91"/>
        <v>0</v>
      </c>
      <c r="AW219" s="23" t="b">
        <f t="shared" si="92"/>
        <v>0</v>
      </c>
      <c r="AX219" s="23" t="s">
        <v>132</v>
      </c>
      <c r="AY219" s="23" t="b">
        <v>0</v>
      </c>
      <c r="AZ219" s="23" t="s">
        <v>105</v>
      </c>
    </row>
    <row r="220" spans="1:52" x14ac:dyDescent="0.2">
      <c r="A220" s="23">
        <v>268</v>
      </c>
      <c r="B220" s="23" t="s">
        <v>1005</v>
      </c>
      <c r="C220" s="23" t="s">
        <v>1086</v>
      </c>
      <c r="D220" s="23" t="b">
        <v>1</v>
      </c>
      <c r="E220" s="23" t="s">
        <v>1087</v>
      </c>
      <c r="F220" s="23" t="s">
        <v>1088</v>
      </c>
      <c r="G220" s="23" t="s">
        <v>92</v>
      </c>
      <c r="H220" s="23" t="s">
        <v>650</v>
      </c>
      <c r="I220" s="23" t="s">
        <v>1085</v>
      </c>
      <c r="J220" s="23" t="s">
        <v>652</v>
      </c>
      <c r="K220" s="23" t="s">
        <v>653</v>
      </c>
      <c r="L220" s="25" t="s">
        <v>404</v>
      </c>
      <c r="M220" s="25" t="s">
        <v>576</v>
      </c>
      <c r="Q220" s="23">
        <v>2009</v>
      </c>
      <c r="R220" s="23" t="s">
        <v>132</v>
      </c>
      <c r="T220" s="23" t="s">
        <v>654</v>
      </c>
      <c r="U220" s="23" t="s">
        <v>244</v>
      </c>
      <c r="V220" s="23" t="s">
        <v>223</v>
      </c>
      <c r="W220" s="23" t="s">
        <v>103</v>
      </c>
      <c r="X220" s="23" t="s">
        <v>104</v>
      </c>
      <c r="Y220" s="23" t="b">
        <f t="shared" si="70"/>
        <v>0</v>
      </c>
      <c r="Z220" s="23" t="b">
        <f t="shared" si="71"/>
        <v>0</v>
      </c>
      <c r="AA220" s="23" t="b">
        <f t="shared" si="72"/>
        <v>0</v>
      </c>
      <c r="AB220" s="23" t="b">
        <f t="shared" si="73"/>
        <v>0</v>
      </c>
      <c r="AC220" s="23" t="b">
        <f t="shared" si="74"/>
        <v>0</v>
      </c>
      <c r="AD220" s="23" t="b">
        <f t="shared" si="75"/>
        <v>0</v>
      </c>
      <c r="AE220" s="23" t="b">
        <f t="shared" si="76"/>
        <v>0</v>
      </c>
      <c r="AF220" s="23" t="b">
        <f t="shared" si="77"/>
        <v>1</v>
      </c>
      <c r="AG220" s="23" t="b">
        <f t="shared" si="78"/>
        <v>0</v>
      </c>
      <c r="AH220" s="23" t="b">
        <f t="shared" si="79"/>
        <v>0</v>
      </c>
      <c r="AI220" s="23" t="b">
        <f t="shared" si="80"/>
        <v>0</v>
      </c>
      <c r="AJ220" s="23" t="b">
        <v>0</v>
      </c>
      <c r="AK220" s="23" t="b">
        <f t="shared" si="81"/>
        <v>0</v>
      </c>
      <c r="AL220" s="23" t="b">
        <f t="shared" si="82"/>
        <v>0</v>
      </c>
      <c r="AM220" s="23" t="b">
        <f t="shared" si="83"/>
        <v>0</v>
      </c>
      <c r="AN220" s="23" t="b">
        <f t="shared" si="84"/>
        <v>0</v>
      </c>
      <c r="AO220" s="23" t="b">
        <f t="shared" si="85"/>
        <v>0</v>
      </c>
      <c r="AP220" s="23" t="b">
        <f t="shared" si="86"/>
        <v>0</v>
      </c>
      <c r="AQ220" s="23" t="b">
        <f t="shared" si="87"/>
        <v>0</v>
      </c>
      <c r="AR220" s="23" t="b">
        <f t="shared" si="88"/>
        <v>0</v>
      </c>
      <c r="AS220" s="23" t="b">
        <v>0</v>
      </c>
      <c r="AT220" s="23" t="b">
        <f t="shared" si="89"/>
        <v>0</v>
      </c>
      <c r="AU220" s="23" t="b">
        <f t="shared" si="90"/>
        <v>1</v>
      </c>
      <c r="AV220" s="23" t="b">
        <f t="shared" si="91"/>
        <v>0</v>
      </c>
      <c r="AW220" s="23" t="b">
        <f t="shared" si="92"/>
        <v>0</v>
      </c>
      <c r="AX220" s="23" t="s">
        <v>132</v>
      </c>
      <c r="AY220" s="23" t="b">
        <v>0</v>
      </c>
      <c r="AZ220" s="23" t="s">
        <v>105</v>
      </c>
    </row>
    <row r="221" spans="1:52" x14ac:dyDescent="0.2">
      <c r="A221" s="23">
        <v>269</v>
      </c>
      <c r="B221" s="23" t="s">
        <v>1005</v>
      </c>
      <c r="C221" s="23" t="s">
        <v>1089</v>
      </c>
      <c r="D221" s="23" t="b">
        <v>1</v>
      </c>
      <c r="E221" s="23" t="s">
        <v>1090</v>
      </c>
      <c r="F221" s="23" t="s">
        <v>1091</v>
      </c>
      <c r="G221" s="23" t="s">
        <v>92</v>
      </c>
      <c r="H221" s="23" t="s">
        <v>1092</v>
      </c>
      <c r="I221" s="23" t="s">
        <v>1093</v>
      </c>
      <c r="J221" s="23" t="s">
        <v>652</v>
      </c>
      <c r="K221" s="23" t="s">
        <v>653</v>
      </c>
      <c r="L221" s="23" t="s">
        <v>1069</v>
      </c>
      <c r="M221" s="23" t="s">
        <v>1094</v>
      </c>
      <c r="Q221" s="23">
        <v>2009</v>
      </c>
      <c r="R221" s="23" t="s">
        <v>132</v>
      </c>
      <c r="T221" s="23" t="s">
        <v>654</v>
      </c>
      <c r="U221" s="23" t="s">
        <v>244</v>
      </c>
      <c r="V221" s="23" t="s">
        <v>223</v>
      </c>
      <c r="W221" s="23" t="s">
        <v>103</v>
      </c>
      <c r="X221" s="23" t="s">
        <v>104</v>
      </c>
      <c r="Y221" s="23" t="b">
        <f t="shared" si="70"/>
        <v>0</v>
      </c>
      <c r="Z221" s="23" t="b">
        <f t="shared" si="71"/>
        <v>0</v>
      </c>
      <c r="AA221" s="23" t="b">
        <f t="shared" si="72"/>
        <v>0</v>
      </c>
      <c r="AB221" s="23" t="b">
        <f t="shared" si="73"/>
        <v>0</v>
      </c>
      <c r="AC221" s="23" t="b">
        <f t="shared" si="74"/>
        <v>0</v>
      </c>
      <c r="AD221" s="23" t="b">
        <f t="shared" si="75"/>
        <v>0</v>
      </c>
      <c r="AE221" s="23" t="b">
        <f t="shared" si="76"/>
        <v>0</v>
      </c>
      <c r="AF221" s="23" t="b">
        <f t="shared" si="77"/>
        <v>1</v>
      </c>
      <c r="AG221" s="23" t="b">
        <f t="shared" si="78"/>
        <v>0</v>
      </c>
      <c r="AH221" s="23" t="b">
        <f t="shared" si="79"/>
        <v>0</v>
      </c>
      <c r="AI221" s="23" t="b">
        <f t="shared" si="80"/>
        <v>0</v>
      </c>
      <c r="AJ221" s="23" t="b">
        <v>0</v>
      </c>
      <c r="AK221" s="23" t="b">
        <f t="shared" si="81"/>
        <v>0</v>
      </c>
      <c r="AL221" s="23" t="b">
        <f t="shared" si="82"/>
        <v>0</v>
      </c>
      <c r="AM221" s="23" t="b">
        <f t="shared" si="83"/>
        <v>0</v>
      </c>
      <c r="AN221" s="23" t="b">
        <f t="shared" si="84"/>
        <v>0</v>
      </c>
      <c r="AO221" s="23" t="b">
        <f t="shared" si="85"/>
        <v>1</v>
      </c>
      <c r="AP221" s="23" t="b">
        <f t="shared" si="86"/>
        <v>0</v>
      </c>
      <c r="AQ221" s="23" t="b">
        <f t="shared" si="87"/>
        <v>0</v>
      </c>
      <c r="AR221" s="23" t="b">
        <f t="shared" si="88"/>
        <v>0</v>
      </c>
      <c r="AS221" s="23" t="b">
        <v>0</v>
      </c>
      <c r="AT221" s="23" t="b">
        <f t="shared" si="89"/>
        <v>1</v>
      </c>
      <c r="AU221" s="23" t="b">
        <f t="shared" si="90"/>
        <v>1</v>
      </c>
      <c r="AV221" s="23" t="b">
        <f t="shared" si="91"/>
        <v>0</v>
      </c>
      <c r="AW221" s="23" t="b">
        <f t="shared" si="92"/>
        <v>0</v>
      </c>
      <c r="AX221" s="23" t="s">
        <v>132</v>
      </c>
      <c r="AY221" s="23" t="b">
        <v>0</v>
      </c>
      <c r="AZ221" s="23" t="s">
        <v>105</v>
      </c>
    </row>
    <row r="222" spans="1:52" x14ac:dyDescent="0.2">
      <c r="A222" s="23">
        <v>270</v>
      </c>
      <c r="B222" s="23" t="s">
        <v>1005</v>
      </c>
      <c r="C222" s="23" t="s">
        <v>1095</v>
      </c>
      <c r="D222" s="23" t="b">
        <v>1</v>
      </c>
      <c r="E222" s="23" t="s">
        <v>1096</v>
      </c>
      <c r="F222" s="23" t="s">
        <v>1097</v>
      </c>
      <c r="G222" s="23" t="s">
        <v>92</v>
      </c>
      <c r="H222" s="23" t="s">
        <v>650</v>
      </c>
      <c r="I222" s="23" t="s">
        <v>1098</v>
      </c>
      <c r="J222" s="23" t="s">
        <v>652</v>
      </c>
      <c r="K222" s="23" t="s">
        <v>653</v>
      </c>
      <c r="L222" s="23" t="s">
        <v>365</v>
      </c>
      <c r="M222" s="23" t="s">
        <v>532</v>
      </c>
      <c r="Q222" s="23">
        <v>2009</v>
      </c>
      <c r="R222" s="23" t="s">
        <v>132</v>
      </c>
      <c r="T222" s="23" t="s">
        <v>654</v>
      </c>
      <c r="U222" s="23" t="s">
        <v>244</v>
      </c>
      <c r="V222" s="23" t="s">
        <v>223</v>
      </c>
      <c r="W222" s="23" t="s">
        <v>103</v>
      </c>
      <c r="X222" s="23" t="s">
        <v>104</v>
      </c>
      <c r="Y222" s="23" t="b">
        <f t="shared" si="70"/>
        <v>0</v>
      </c>
      <c r="Z222" s="23" t="b">
        <f t="shared" si="71"/>
        <v>0</v>
      </c>
      <c r="AA222" s="23" t="b">
        <f t="shared" si="72"/>
        <v>0</v>
      </c>
      <c r="AB222" s="23" t="b">
        <f t="shared" si="73"/>
        <v>0</v>
      </c>
      <c r="AC222" s="23" t="b">
        <f t="shared" si="74"/>
        <v>0</v>
      </c>
      <c r="AD222" s="23" t="b">
        <f t="shared" si="75"/>
        <v>0</v>
      </c>
      <c r="AE222" s="23" t="b">
        <f t="shared" si="76"/>
        <v>0</v>
      </c>
      <c r="AF222" s="23" t="b">
        <f t="shared" si="77"/>
        <v>0</v>
      </c>
      <c r="AG222" s="23" t="b">
        <f t="shared" si="78"/>
        <v>0</v>
      </c>
      <c r="AH222" s="23" t="b">
        <f t="shared" si="79"/>
        <v>0</v>
      </c>
      <c r="AI222" s="23" t="b">
        <f t="shared" si="80"/>
        <v>0</v>
      </c>
      <c r="AJ222" s="23" t="b">
        <v>0</v>
      </c>
      <c r="AK222" s="23" t="b">
        <f t="shared" si="81"/>
        <v>0</v>
      </c>
      <c r="AL222" s="23" t="b">
        <f t="shared" si="82"/>
        <v>0</v>
      </c>
      <c r="AM222" s="23" t="b">
        <f t="shared" si="83"/>
        <v>0</v>
      </c>
      <c r="AN222" s="23" t="b">
        <f t="shared" si="84"/>
        <v>0</v>
      </c>
      <c r="AO222" s="23" t="b">
        <f t="shared" si="85"/>
        <v>1</v>
      </c>
      <c r="AP222" s="23" t="b">
        <f t="shared" si="86"/>
        <v>0</v>
      </c>
      <c r="AQ222" s="23" t="b">
        <f t="shared" si="87"/>
        <v>0</v>
      </c>
      <c r="AR222" s="23" t="b">
        <f t="shared" si="88"/>
        <v>0</v>
      </c>
      <c r="AS222" s="23" t="b">
        <v>0</v>
      </c>
      <c r="AT222" s="23" t="b">
        <f t="shared" si="89"/>
        <v>1</v>
      </c>
      <c r="AU222" s="23" t="b">
        <f t="shared" si="90"/>
        <v>0</v>
      </c>
      <c r="AV222" s="23" t="b">
        <f t="shared" si="91"/>
        <v>0</v>
      </c>
      <c r="AW222" s="23" t="b">
        <f t="shared" si="92"/>
        <v>0</v>
      </c>
      <c r="AX222" s="23" t="s">
        <v>132</v>
      </c>
      <c r="AY222" s="23" t="b">
        <v>0</v>
      </c>
      <c r="AZ222" s="23" t="s">
        <v>105</v>
      </c>
    </row>
    <row r="223" spans="1:52" x14ac:dyDescent="0.2">
      <c r="A223" s="23">
        <v>271</v>
      </c>
      <c r="B223" s="23" t="s">
        <v>1005</v>
      </c>
      <c r="C223" s="23" t="s">
        <v>1099</v>
      </c>
      <c r="D223" s="23" t="b">
        <v>1</v>
      </c>
      <c r="E223" s="23" t="s">
        <v>1100</v>
      </c>
      <c r="F223" s="23" t="s">
        <v>1101</v>
      </c>
      <c r="G223" s="23" t="s">
        <v>92</v>
      </c>
      <c r="H223" s="23" t="s">
        <v>1102</v>
      </c>
      <c r="I223" s="23" t="s">
        <v>1103</v>
      </c>
      <c r="J223" s="23" t="s">
        <v>561</v>
      </c>
      <c r="K223" s="23" t="s">
        <v>562</v>
      </c>
      <c r="L223" s="23" t="s">
        <v>1104</v>
      </c>
      <c r="M223" s="23" t="s">
        <v>1105</v>
      </c>
      <c r="Q223" s="23">
        <v>2017</v>
      </c>
      <c r="R223" s="23" t="s">
        <v>132</v>
      </c>
      <c r="T223" s="23" t="s">
        <v>654</v>
      </c>
      <c r="U223" s="23" t="s">
        <v>244</v>
      </c>
      <c r="V223" s="23" t="s">
        <v>223</v>
      </c>
      <c r="W223" s="23" t="s">
        <v>103</v>
      </c>
      <c r="X223" s="23" t="s">
        <v>104</v>
      </c>
      <c r="Y223" s="23" t="b">
        <f t="shared" si="70"/>
        <v>0</v>
      </c>
      <c r="Z223" s="23" t="b">
        <f t="shared" si="71"/>
        <v>0</v>
      </c>
      <c r="AA223" s="23" t="b">
        <f t="shared" si="72"/>
        <v>0</v>
      </c>
      <c r="AB223" s="23" t="b">
        <f t="shared" si="73"/>
        <v>0</v>
      </c>
      <c r="AC223" s="23" t="b">
        <f t="shared" si="74"/>
        <v>0</v>
      </c>
      <c r="AD223" s="23" t="b">
        <f t="shared" si="75"/>
        <v>0</v>
      </c>
      <c r="AE223" s="23" t="b">
        <f t="shared" si="76"/>
        <v>1</v>
      </c>
      <c r="AF223" s="23" t="b">
        <f t="shared" si="77"/>
        <v>1</v>
      </c>
      <c r="AG223" s="23" t="b">
        <f t="shared" si="78"/>
        <v>1</v>
      </c>
      <c r="AH223" s="23" t="b">
        <f t="shared" si="79"/>
        <v>0</v>
      </c>
      <c r="AI223" s="23" t="b">
        <f t="shared" si="80"/>
        <v>0</v>
      </c>
      <c r="AJ223" s="23" t="b">
        <v>0</v>
      </c>
      <c r="AK223" s="23" t="b">
        <f t="shared" si="81"/>
        <v>0</v>
      </c>
      <c r="AL223" s="23" t="b">
        <f t="shared" si="82"/>
        <v>0</v>
      </c>
      <c r="AM223" s="23" t="b">
        <f t="shared" si="83"/>
        <v>0</v>
      </c>
      <c r="AN223" s="23" t="b">
        <f t="shared" si="84"/>
        <v>0</v>
      </c>
      <c r="AO223" s="23" t="b">
        <f t="shared" si="85"/>
        <v>1</v>
      </c>
      <c r="AP223" s="23" t="b">
        <f t="shared" si="86"/>
        <v>0</v>
      </c>
      <c r="AQ223" s="23" t="b">
        <f t="shared" si="87"/>
        <v>0</v>
      </c>
      <c r="AR223" s="23" t="b">
        <f t="shared" si="88"/>
        <v>0</v>
      </c>
      <c r="AS223" s="23" t="b">
        <v>0</v>
      </c>
      <c r="AT223" s="23" t="b">
        <f t="shared" si="89"/>
        <v>1</v>
      </c>
      <c r="AU223" s="23" t="b">
        <f t="shared" si="90"/>
        <v>1</v>
      </c>
      <c r="AV223" s="23" t="b">
        <f t="shared" si="91"/>
        <v>0</v>
      </c>
      <c r="AW223" s="23" t="b">
        <f t="shared" si="92"/>
        <v>0</v>
      </c>
      <c r="AX223" s="23" t="s">
        <v>132</v>
      </c>
      <c r="AY223" s="23" t="b">
        <v>0</v>
      </c>
      <c r="AZ223" s="23" t="s">
        <v>105</v>
      </c>
    </row>
    <row r="224" spans="1:52" x14ac:dyDescent="0.2">
      <c r="A224" s="23">
        <v>272</v>
      </c>
      <c r="B224" s="23" t="s">
        <v>1005</v>
      </c>
      <c r="C224" s="23" t="s">
        <v>1106</v>
      </c>
      <c r="D224" s="23" t="b">
        <v>1</v>
      </c>
      <c r="E224" s="23" t="s">
        <v>1107</v>
      </c>
      <c r="F224" s="23" t="s">
        <v>1108</v>
      </c>
      <c r="G224" s="23" t="s">
        <v>92</v>
      </c>
      <c r="H224" s="23" t="s">
        <v>1102</v>
      </c>
      <c r="I224" s="23" t="s">
        <v>1109</v>
      </c>
      <c r="J224" s="23" t="s">
        <v>561</v>
      </c>
      <c r="K224" s="23" t="s">
        <v>562</v>
      </c>
      <c r="L224" s="25" t="s">
        <v>404</v>
      </c>
      <c r="M224" s="25" t="s">
        <v>576</v>
      </c>
      <c r="Q224" s="23">
        <v>2017</v>
      </c>
      <c r="R224" s="23" t="s">
        <v>132</v>
      </c>
      <c r="T224" s="23" t="s">
        <v>654</v>
      </c>
      <c r="U224" s="23" t="s">
        <v>244</v>
      </c>
      <c r="V224" s="23" t="s">
        <v>223</v>
      </c>
      <c r="W224" s="23" t="s">
        <v>103</v>
      </c>
      <c r="X224" s="23" t="s">
        <v>104</v>
      </c>
      <c r="Y224" s="23" t="b">
        <f t="shared" si="70"/>
        <v>0</v>
      </c>
      <c r="Z224" s="23" t="b">
        <f t="shared" si="71"/>
        <v>0</v>
      </c>
      <c r="AA224" s="23" t="b">
        <f t="shared" si="72"/>
        <v>0</v>
      </c>
      <c r="AB224" s="23" t="b">
        <f t="shared" si="73"/>
        <v>0</v>
      </c>
      <c r="AC224" s="23" t="b">
        <f t="shared" si="74"/>
        <v>0</v>
      </c>
      <c r="AD224" s="23" t="b">
        <f t="shared" si="75"/>
        <v>0</v>
      </c>
      <c r="AE224" s="23" t="b">
        <f t="shared" si="76"/>
        <v>0</v>
      </c>
      <c r="AF224" s="23" t="b">
        <f t="shared" si="77"/>
        <v>1</v>
      </c>
      <c r="AG224" s="23" t="b">
        <f t="shared" si="78"/>
        <v>0</v>
      </c>
      <c r="AH224" s="23" t="b">
        <f t="shared" si="79"/>
        <v>0</v>
      </c>
      <c r="AI224" s="23" t="b">
        <f t="shared" si="80"/>
        <v>0</v>
      </c>
      <c r="AJ224" s="23" t="b">
        <v>0</v>
      </c>
      <c r="AK224" s="23" t="b">
        <f t="shared" si="81"/>
        <v>0</v>
      </c>
      <c r="AL224" s="23" t="b">
        <f t="shared" si="82"/>
        <v>0</v>
      </c>
      <c r="AM224" s="23" t="b">
        <f t="shared" si="83"/>
        <v>0</v>
      </c>
      <c r="AN224" s="23" t="b">
        <f t="shared" si="84"/>
        <v>0</v>
      </c>
      <c r="AO224" s="23" t="b">
        <f t="shared" si="85"/>
        <v>0</v>
      </c>
      <c r="AP224" s="23" t="b">
        <f t="shared" si="86"/>
        <v>0</v>
      </c>
      <c r="AQ224" s="23" t="b">
        <f t="shared" si="87"/>
        <v>0</v>
      </c>
      <c r="AR224" s="23" t="b">
        <f t="shared" si="88"/>
        <v>0</v>
      </c>
      <c r="AS224" s="23" t="b">
        <v>0</v>
      </c>
      <c r="AT224" s="23" t="b">
        <f t="shared" si="89"/>
        <v>0</v>
      </c>
      <c r="AU224" s="23" t="b">
        <f t="shared" si="90"/>
        <v>1</v>
      </c>
      <c r="AV224" s="23" t="b">
        <f t="shared" si="91"/>
        <v>0</v>
      </c>
      <c r="AW224" s="23" t="b">
        <f t="shared" si="92"/>
        <v>0</v>
      </c>
      <c r="AX224" s="23" t="s">
        <v>132</v>
      </c>
      <c r="AY224" s="23" t="b">
        <v>0</v>
      </c>
      <c r="AZ224" s="23" t="s">
        <v>105</v>
      </c>
    </row>
    <row r="225" spans="1:52" x14ac:dyDescent="0.2">
      <c r="A225" s="23">
        <v>273</v>
      </c>
      <c r="B225" s="23" t="s">
        <v>1005</v>
      </c>
      <c r="C225" s="23" t="s">
        <v>1110</v>
      </c>
      <c r="D225" s="23" t="b">
        <v>1</v>
      </c>
      <c r="E225" s="23" t="s">
        <v>1111</v>
      </c>
      <c r="F225" s="23" t="s">
        <v>1112</v>
      </c>
      <c r="G225" s="23" t="s">
        <v>92</v>
      </c>
      <c r="H225" s="23" t="s">
        <v>1102</v>
      </c>
      <c r="I225" s="23" t="s">
        <v>1113</v>
      </c>
      <c r="J225" s="23" t="s">
        <v>561</v>
      </c>
      <c r="K225" s="23" t="s">
        <v>562</v>
      </c>
      <c r="L225" s="23" t="s">
        <v>1069</v>
      </c>
      <c r="M225" s="23" t="s">
        <v>1075</v>
      </c>
      <c r="Q225" s="23">
        <v>2017</v>
      </c>
      <c r="R225" s="23" t="s">
        <v>132</v>
      </c>
      <c r="T225" s="23" t="s">
        <v>654</v>
      </c>
      <c r="U225" s="23" t="s">
        <v>244</v>
      </c>
      <c r="V225" s="23" t="s">
        <v>223</v>
      </c>
      <c r="W225" s="23" t="s">
        <v>103</v>
      </c>
      <c r="X225" s="23" t="s">
        <v>104</v>
      </c>
      <c r="Y225" s="23" t="b">
        <f t="shared" si="70"/>
        <v>0</v>
      </c>
      <c r="Z225" s="23" t="b">
        <f t="shared" si="71"/>
        <v>0</v>
      </c>
      <c r="AA225" s="23" t="b">
        <f t="shared" si="72"/>
        <v>0</v>
      </c>
      <c r="AB225" s="23" t="b">
        <f t="shared" si="73"/>
        <v>0</v>
      </c>
      <c r="AC225" s="23" t="b">
        <f t="shared" si="74"/>
        <v>0</v>
      </c>
      <c r="AD225" s="23" t="b">
        <f t="shared" si="75"/>
        <v>0</v>
      </c>
      <c r="AE225" s="23" t="b">
        <f t="shared" si="76"/>
        <v>1</v>
      </c>
      <c r="AF225" s="23" t="b">
        <f t="shared" si="77"/>
        <v>1</v>
      </c>
      <c r="AG225" s="23" t="b">
        <f t="shared" si="78"/>
        <v>1</v>
      </c>
      <c r="AH225" s="23" t="b">
        <f t="shared" si="79"/>
        <v>0</v>
      </c>
      <c r="AI225" s="23" t="b">
        <f t="shared" si="80"/>
        <v>0</v>
      </c>
      <c r="AJ225" s="23" t="b">
        <v>0</v>
      </c>
      <c r="AK225" s="23" t="b">
        <f t="shared" si="81"/>
        <v>0</v>
      </c>
      <c r="AL225" s="23" t="b">
        <f t="shared" si="82"/>
        <v>0</v>
      </c>
      <c r="AM225" s="23" t="b">
        <f t="shared" si="83"/>
        <v>0</v>
      </c>
      <c r="AN225" s="23" t="b">
        <f t="shared" si="84"/>
        <v>0</v>
      </c>
      <c r="AO225" s="23" t="b">
        <f t="shared" si="85"/>
        <v>1</v>
      </c>
      <c r="AP225" s="23" t="b">
        <f t="shared" si="86"/>
        <v>0</v>
      </c>
      <c r="AQ225" s="23" t="b">
        <f t="shared" si="87"/>
        <v>0</v>
      </c>
      <c r="AR225" s="23" t="b">
        <f t="shared" si="88"/>
        <v>0</v>
      </c>
      <c r="AS225" s="23" t="b">
        <v>0</v>
      </c>
      <c r="AT225" s="23" t="b">
        <f t="shared" si="89"/>
        <v>1</v>
      </c>
      <c r="AU225" s="23" t="b">
        <f t="shared" si="90"/>
        <v>1</v>
      </c>
      <c r="AV225" s="23" t="b">
        <f t="shared" si="91"/>
        <v>0</v>
      </c>
      <c r="AW225" s="23" t="b">
        <f t="shared" si="92"/>
        <v>0</v>
      </c>
      <c r="AX225" s="23" t="s">
        <v>132</v>
      </c>
      <c r="AY225" s="23" t="b">
        <v>0</v>
      </c>
      <c r="AZ225" s="23" t="s">
        <v>105</v>
      </c>
    </row>
    <row r="226" spans="1:52" x14ac:dyDescent="0.2">
      <c r="A226" s="23">
        <v>274</v>
      </c>
      <c r="B226" s="23" t="s">
        <v>1005</v>
      </c>
      <c r="C226" s="23" t="s">
        <v>1114</v>
      </c>
      <c r="D226" s="23" t="b">
        <v>1</v>
      </c>
      <c r="E226" s="23" t="s">
        <v>1115</v>
      </c>
      <c r="F226" s="23" t="s">
        <v>1116</v>
      </c>
      <c r="G226" s="23" t="s">
        <v>92</v>
      </c>
      <c r="H226" s="25" t="s">
        <v>1117</v>
      </c>
      <c r="I226" s="23" t="s">
        <v>1118</v>
      </c>
      <c r="J226" s="23" t="s">
        <v>95</v>
      </c>
      <c r="K226" s="23" t="s">
        <v>1119</v>
      </c>
      <c r="L226" s="23" t="s">
        <v>1069</v>
      </c>
      <c r="M226" s="23" t="s">
        <v>1075</v>
      </c>
      <c r="P226" s="23">
        <v>2009</v>
      </c>
      <c r="Q226" s="23">
        <v>2009</v>
      </c>
      <c r="R226" s="23" t="s">
        <v>132</v>
      </c>
      <c r="T226" s="23" t="s">
        <v>243</v>
      </c>
      <c r="U226" s="23" t="s">
        <v>244</v>
      </c>
      <c r="V226" s="23" t="s">
        <v>223</v>
      </c>
      <c r="W226" s="23" t="s">
        <v>103</v>
      </c>
      <c r="X226" s="23" t="s">
        <v>104</v>
      </c>
      <c r="Y226" s="23" t="b">
        <f t="shared" si="70"/>
        <v>0</v>
      </c>
      <c r="Z226" s="23" t="b">
        <f t="shared" si="71"/>
        <v>0</v>
      </c>
      <c r="AA226" s="23" t="b">
        <f t="shared" si="72"/>
        <v>0</v>
      </c>
      <c r="AB226" s="23" t="b">
        <f t="shared" si="73"/>
        <v>0</v>
      </c>
      <c r="AC226" s="23" t="b">
        <f t="shared" si="74"/>
        <v>0</v>
      </c>
      <c r="AD226" s="23" t="b">
        <f t="shared" si="75"/>
        <v>0</v>
      </c>
      <c r="AE226" s="23" t="b">
        <f t="shared" si="76"/>
        <v>1</v>
      </c>
      <c r="AF226" s="23" t="b">
        <f t="shared" si="77"/>
        <v>1</v>
      </c>
      <c r="AG226" s="23" t="b">
        <f t="shared" si="78"/>
        <v>1</v>
      </c>
      <c r="AH226" s="23" t="b">
        <f t="shared" si="79"/>
        <v>0</v>
      </c>
      <c r="AI226" s="23" t="b">
        <f t="shared" si="80"/>
        <v>0</v>
      </c>
      <c r="AJ226" s="23" t="b">
        <v>0</v>
      </c>
      <c r="AK226" s="23" t="b">
        <f t="shared" si="81"/>
        <v>0</v>
      </c>
      <c r="AL226" s="23" t="b">
        <f t="shared" si="82"/>
        <v>0</v>
      </c>
      <c r="AM226" s="23" t="b">
        <f t="shared" si="83"/>
        <v>0</v>
      </c>
      <c r="AN226" s="23" t="b">
        <f t="shared" si="84"/>
        <v>0</v>
      </c>
      <c r="AO226" s="23" t="b">
        <f t="shared" si="85"/>
        <v>1</v>
      </c>
      <c r="AP226" s="23" t="b">
        <f t="shared" si="86"/>
        <v>0</v>
      </c>
      <c r="AQ226" s="23" t="b">
        <f t="shared" si="87"/>
        <v>0</v>
      </c>
      <c r="AR226" s="23" t="b">
        <f t="shared" si="88"/>
        <v>0</v>
      </c>
      <c r="AS226" s="23" t="b">
        <v>0</v>
      </c>
      <c r="AT226" s="23" t="b">
        <f t="shared" si="89"/>
        <v>1</v>
      </c>
      <c r="AU226" s="23" t="b">
        <f t="shared" si="90"/>
        <v>1</v>
      </c>
      <c r="AV226" s="23" t="b">
        <f t="shared" si="91"/>
        <v>0</v>
      </c>
      <c r="AW226" s="23" t="b">
        <f t="shared" si="92"/>
        <v>0</v>
      </c>
      <c r="AX226" s="23" t="s">
        <v>132</v>
      </c>
      <c r="AY226" s="23" t="b">
        <v>0</v>
      </c>
      <c r="AZ226" s="23" t="s">
        <v>105</v>
      </c>
    </row>
    <row r="227" spans="1:52" x14ac:dyDescent="0.2">
      <c r="A227" s="23">
        <v>275</v>
      </c>
      <c r="B227" s="23" t="s">
        <v>1005</v>
      </c>
      <c r="C227" s="23" t="s">
        <v>1120</v>
      </c>
      <c r="D227" s="23" t="b">
        <v>1</v>
      </c>
      <c r="E227" s="23" t="s">
        <v>1121</v>
      </c>
      <c r="F227" s="23" t="s">
        <v>1122</v>
      </c>
      <c r="G227" s="23" t="s">
        <v>92</v>
      </c>
      <c r="H227" s="23" t="s">
        <v>388</v>
      </c>
      <c r="J227" s="23" t="s">
        <v>240</v>
      </c>
      <c r="K227" s="23" t="s">
        <v>1123</v>
      </c>
      <c r="L227" s="23" t="s">
        <v>1069</v>
      </c>
      <c r="M227" s="25" t="s">
        <v>1105</v>
      </c>
      <c r="P227" s="23">
        <v>2015</v>
      </c>
      <c r="Q227" s="23">
        <v>2018</v>
      </c>
      <c r="R227" s="23" t="s">
        <v>242</v>
      </c>
      <c r="T227" s="23" t="s">
        <v>243</v>
      </c>
      <c r="U227" s="23" t="s">
        <v>244</v>
      </c>
      <c r="V227" s="23" t="s">
        <v>223</v>
      </c>
      <c r="W227" s="23" t="s">
        <v>103</v>
      </c>
      <c r="X227" s="23" t="s">
        <v>104</v>
      </c>
      <c r="Y227" s="23" t="b">
        <f t="shared" si="70"/>
        <v>0</v>
      </c>
      <c r="Z227" s="23" t="b">
        <f t="shared" si="71"/>
        <v>0</v>
      </c>
      <c r="AA227" s="23" t="b">
        <f t="shared" si="72"/>
        <v>0</v>
      </c>
      <c r="AB227" s="23" t="b">
        <f t="shared" si="73"/>
        <v>0</v>
      </c>
      <c r="AC227" s="23" t="b">
        <f t="shared" si="74"/>
        <v>0</v>
      </c>
      <c r="AD227" s="23" t="b">
        <f t="shared" si="75"/>
        <v>0</v>
      </c>
      <c r="AE227" s="23" t="b">
        <f t="shared" si="76"/>
        <v>1</v>
      </c>
      <c r="AF227" s="23" t="b">
        <f t="shared" si="77"/>
        <v>1</v>
      </c>
      <c r="AG227" s="23" t="b">
        <f t="shared" si="78"/>
        <v>1</v>
      </c>
      <c r="AH227" s="23" t="b">
        <f t="shared" si="79"/>
        <v>0</v>
      </c>
      <c r="AI227" s="23" t="b">
        <f t="shared" si="80"/>
        <v>0</v>
      </c>
      <c r="AJ227" s="23" t="b">
        <v>0</v>
      </c>
      <c r="AK227" s="23" t="b">
        <f t="shared" si="81"/>
        <v>0</v>
      </c>
      <c r="AL227" s="23" t="b">
        <f t="shared" si="82"/>
        <v>0</v>
      </c>
      <c r="AM227" s="23" t="b">
        <f t="shared" si="83"/>
        <v>0</v>
      </c>
      <c r="AN227" s="23" t="b">
        <f t="shared" si="84"/>
        <v>0</v>
      </c>
      <c r="AO227" s="23" t="b">
        <f t="shared" si="85"/>
        <v>1</v>
      </c>
      <c r="AP227" s="23" t="b">
        <f t="shared" si="86"/>
        <v>0</v>
      </c>
      <c r="AQ227" s="23" t="b">
        <f t="shared" si="87"/>
        <v>0</v>
      </c>
      <c r="AR227" s="23" t="b">
        <f t="shared" si="88"/>
        <v>0</v>
      </c>
      <c r="AS227" s="23" t="b">
        <v>0</v>
      </c>
      <c r="AT227" s="23" t="b">
        <f t="shared" si="89"/>
        <v>1</v>
      </c>
      <c r="AU227" s="23" t="b">
        <f t="shared" si="90"/>
        <v>1</v>
      </c>
      <c r="AV227" s="23" t="b">
        <f t="shared" si="91"/>
        <v>0</v>
      </c>
      <c r="AW227" s="23" t="b">
        <f t="shared" si="92"/>
        <v>0</v>
      </c>
      <c r="AX227" s="23" t="s">
        <v>242</v>
      </c>
      <c r="AY227" s="23" t="b">
        <v>1</v>
      </c>
      <c r="AZ227" s="23" t="s">
        <v>105</v>
      </c>
    </row>
    <row r="228" spans="1:52" x14ac:dyDescent="0.2">
      <c r="A228" s="23">
        <v>276</v>
      </c>
      <c r="B228" s="23" t="s">
        <v>1124</v>
      </c>
      <c r="C228" s="23" t="s">
        <v>1125</v>
      </c>
      <c r="D228" s="23" t="b">
        <v>1</v>
      </c>
      <c r="E228" s="23" t="s">
        <v>1126</v>
      </c>
      <c r="F228" s="23" t="s">
        <v>1127</v>
      </c>
      <c r="G228" s="23" t="s">
        <v>92</v>
      </c>
      <c r="H228" s="23" t="s">
        <v>93</v>
      </c>
      <c r="I228" s="23" t="s">
        <v>1128</v>
      </c>
      <c r="J228" s="23" t="s">
        <v>95</v>
      </c>
      <c r="K228" s="23" t="s">
        <v>96</v>
      </c>
      <c r="Q228" s="23">
        <v>2001</v>
      </c>
      <c r="R228" s="23" t="s">
        <v>119</v>
      </c>
      <c r="T228" s="23" t="s">
        <v>207</v>
      </c>
      <c r="U228" s="23" t="s">
        <v>111</v>
      </c>
      <c r="V228" s="23" t="s">
        <v>112</v>
      </c>
      <c r="W228" s="23" t="s">
        <v>103</v>
      </c>
      <c r="X228" s="23" t="s">
        <v>104</v>
      </c>
      <c r="Y228" s="23" t="b">
        <f t="shared" si="70"/>
        <v>0</v>
      </c>
      <c r="Z228" s="23" t="b">
        <f t="shared" si="71"/>
        <v>0</v>
      </c>
      <c r="AA228" s="23" t="b">
        <f t="shared" si="72"/>
        <v>0</v>
      </c>
      <c r="AB228" s="23" t="b">
        <f t="shared" si="73"/>
        <v>0</v>
      </c>
      <c r="AC228" s="23" t="b">
        <f t="shared" si="74"/>
        <v>0</v>
      </c>
      <c r="AD228" s="23" t="b">
        <f t="shared" si="75"/>
        <v>0</v>
      </c>
      <c r="AE228" s="23" t="b">
        <f t="shared" si="76"/>
        <v>0</v>
      </c>
      <c r="AF228" s="23" t="b">
        <f t="shared" si="77"/>
        <v>0</v>
      </c>
      <c r="AG228" s="23" t="b">
        <f t="shared" si="78"/>
        <v>0</v>
      </c>
      <c r="AH228" s="23" t="b">
        <f t="shared" si="79"/>
        <v>0</v>
      </c>
      <c r="AI228" s="23" t="b">
        <f t="shared" si="80"/>
        <v>0</v>
      </c>
      <c r="AJ228" s="23" t="b">
        <v>1</v>
      </c>
      <c r="AK228" s="23" t="b">
        <f t="shared" si="81"/>
        <v>0</v>
      </c>
      <c r="AL228" s="23" t="b">
        <f t="shared" si="82"/>
        <v>0</v>
      </c>
      <c r="AM228" s="23" t="b">
        <f t="shared" si="83"/>
        <v>0</v>
      </c>
      <c r="AN228" s="23" t="b">
        <f t="shared" si="84"/>
        <v>0</v>
      </c>
      <c r="AO228" s="23" t="b">
        <f t="shared" si="85"/>
        <v>0</v>
      </c>
      <c r="AP228" s="23" t="b">
        <f t="shared" si="86"/>
        <v>0</v>
      </c>
      <c r="AQ228" s="23" t="b">
        <f t="shared" si="87"/>
        <v>0</v>
      </c>
      <c r="AR228" s="23" t="b">
        <f t="shared" si="88"/>
        <v>0</v>
      </c>
      <c r="AS228" s="23" t="b">
        <v>1</v>
      </c>
      <c r="AT228" s="23" t="b">
        <f t="shared" si="89"/>
        <v>0</v>
      </c>
      <c r="AU228" s="23" t="b">
        <f t="shared" si="90"/>
        <v>0</v>
      </c>
      <c r="AV228" s="23" t="b">
        <f t="shared" si="91"/>
        <v>0</v>
      </c>
      <c r="AW228" s="23" t="b">
        <f t="shared" si="92"/>
        <v>0</v>
      </c>
      <c r="AX228" s="23" t="s">
        <v>99</v>
      </c>
      <c r="AY228" s="23" t="b">
        <v>0</v>
      </c>
      <c r="AZ228" s="23" t="s">
        <v>105</v>
      </c>
    </row>
    <row r="229" spans="1:52" x14ac:dyDescent="0.2">
      <c r="A229" s="23">
        <v>277</v>
      </c>
      <c r="B229" s="23" t="s">
        <v>1124</v>
      </c>
      <c r="C229" s="23" t="s">
        <v>1129</v>
      </c>
      <c r="D229" s="23" t="b">
        <v>1</v>
      </c>
      <c r="E229" s="23" t="s">
        <v>1130</v>
      </c>
      <c r="F229" s="23" t="s">
        <v>1131</v>
      </c>
      <c r="G229" s="23" t="s">
        <v>92</v>
      </c>
      <c r="H229" s="23" t="s">
        <v>93</v>
      </c>
      <c r="I229" s="23" t="s">
        <v>1132</v>
      </c>
      <c r="J229" s="23" t="s">
        <v>95</v>
      </c>
      <c r="K229" s="23" t="s">
        <v>96</v>
      </c>
      <c r="Q229" s="23">
        <v>2001</v>
      </c>
      <c r="R229" s="23" t="s">
        <v>119</v>
      </c>
      <c r="T229" s="23" t="s">
        <v>100</v>
      </c>
      <c r="U229" s="23" t="s">
        <v>101</v>
      </c>
      <c r="V229" s="23" t="s">
        <v>102</v>
      </c>
      <c r="W229" s="23" t="s">
        <v>103</v>
      </c>
      <c r="X229" s="23" t="s">
        <v>104</v>
      </c>
      <c r="Y229" s="23" t="b">
        <f t="shared" si="70"/>
        <v>0</v>
      </c>
      <c r="Z229" s="23" t="b">
        <f t="shared" si="71"/>
        <v>0</v>
      </c>
      <c r="AA229" s="23" t="b">
        <f t="shared" si="72"/>
        <v>0</v>
      </c>
      <c r="AB229" s="23" t="b">
        <f t="shared" si="73"/>
        <v>0</v>
      </c>
      <c r="AC229" s="23" t="b">
        <f t="shared" si="74"/>
        <v>0</v>
      </c>
      <c r="AD229" s="23" t="b">
        <f t="shared" si="75"/>
        <v>0</v>
      </c>
      <c r="AE229" s="23" t="b">
        <f t="shared" si="76"/>
        <v>0</v>
      </c>
      <c r="AF229" s="23" t="b">
        <f t="shared" si="77"/>
        <v>0</v>
      </c>
      <c r="AG229" s="23" t="b">
        <f t="shared" si="78"/>
        <v>0</v>
      </c>
      <c r="AH229" s="23" t="b">
        <f t="shared" si="79"/>
        <v>0</v>
      </c>
      <c r="AI229" s="23" t="b">
        <f t="shared" si="80"/>
        <v>0</v>
      </c>
      <c r="AJ229" s="23" t="b">
        <v>1</v>
      </c>
      <c r="AK229" s="23" t="b">
        <f t="shared" si="81"/>
        <v>0</v>
      </c>
      <c r="AL229" s="23" t="b">
        <f t="shared" si="82"/>
        <v>0</v>
      </c>
      <c r="AM229" s="23" t="b">
        <f t="shared" si="83"/>
        <v>0</v>
      </c>
      <c r="AN229" s="23" t="b">
        <f t="shared" si="84"/>
        <v>0</v>
      </c>
      <c r="AO229" s="23" t="b">
        <f t="shared" si="85"/>
        <v>0</v>
      </c>
      <c r="AP229" s="23" t="b">
        <f t="shared" si="86"/>
        <v>0</v>
      </c>
      <c r="AQ229" s="23" t="b">
        <f t="shared" si="87"/>
        <v>0</v>
      </c>
      <c r="AR229" s="23" t="b">
        <f t="shared" si="88"/>
        <v>0</v>
      </c>
      <c r="AS229" s="23" t="b">
        <v>1</v>
      </c>
      <c r="AT229" s="23" t="b">
        <f t="shared" si="89"/>
        <v>0</v>
      </c>
      <c r="AU229" s="23" t="b">
        <f t="shared" si="90"/>
        <v>0</v>
      </c>
      <c r="AV229" s="23" t="b">
        <f t="shared" si="91"/>
        <v>0</v>
      </c>
      <c r="AW229" s="23" t="b">
        <f t="shared" si="92"/>
        <v>0</v>
      </c>
      <c r="AX229" s="23" t="s">
        <v>99</v>
      </c>
      <c r="AY229" s="23" t="b">
        <v>0</v>
      </c>
      <c r="AZ229" s="23" t="s">
        <v>105</v>
      </c>
    </row>
    <row r="230" spans="1:52" x14ac:dyDescent="0.2">
      <c r="A230" s="23">
        <v>278</v>
      </c>
      <c r="B230" s="23" t="s">
        <v>1124</v>
      </c>
      <c r="C230" s="23" t="s">
        <v>1133</v>
      </c>
      <c r="D230" s="23" t="b">
        <v>1</v>
      </c>
      <c r="E230" s="23" t="s">
        <v>1134</v>
      </c>
      <c r="F230" s="23" t="s">
        <v>1135</v>
      </c>
      <c r="G230" s="23" t="s">
        <v>92</v>
      </c>
      <c r="H230" s="23" t="s">
        <v>93</v>
      </c>
      <c r="I230" s="23" t="s">
        <v>1136</v>
      </c>
      <c r="J230" s="23" t="s">
        <v>95</v>
      </c>
      <c r="K230" s="23" t="s">
        <v>96</v>
      </c>
      <c r="Q230" s="23">
        <v>2011</v>
      </c>
      <c r="R230" s="23" t="s">
        <v>119</v>
      </c>
      <c r="T230" s="23" t="s">
        <v>207</v>
      </c>
      <c r="U230" s="23" t="s">
        <v>111</v>
      </c>
      <c r="V230" s="23" t="s">
        <v>112</v>
      </c>
      <c r="W230" s="23" t="s">
        <v>103</v>
      </c>
      <c r="X230" s="23" t="s">
        <v>104</v>
      </c>
      <c r="Y230" s="23" t="b">
        <f t="shared" si="70"/>
        <v>0</v>
      </c>
      <c r="Z230" s="23" t="b">
        <f t="shared" si="71"/>
        <v>0</v>
      </c>
      <c r="AA230" s="23" t="b">
        <f t="shared" si="72"/>
        <v>0</v>
      </c>
      <c r="AB230" s="23" t="b">
        <f t="shared" si="73"/>
        <v>0</v>
      </c>
      <c r="AC230" s="23" t="b">
        <f t="shared" si="74"/>
        <v>0</v>
      </c>
      <c r="AD230" s="23" t="b">
        <f t="shared" si="75"/>
        <v>0</v>
      </c>
      <c r="AE230" s="23" t="b">
        <f t="shared" si="76"/>
        <v>0</v>
      </c>
      <c r="AF230" s="23" t="b">
        <f t="shared" si="77"/>
        <v>0</v>
      </c>
      <c r="AG230" s="23" t="b">
        <f t="shared" si="78"/>
        <v>0</v>
      </c>
      <c r="AH230" s="23" t="b">
        <f t="shared" si="79"/>
        <v>0</v>
      </c>
      <c r="AI230" s="23" t="b">
        <f t="shared" si="80"/>
        <v>0</v>
      </c>
      <c r="AJ230" s="23" t="b">
        <v>1</v>
      </c>
      <c r="AK230" s="23" t="b">
        <f t="shared" si="81"/>
        <v>0</v>
      </c>
      <c r="AL230" s="23" t="b">
        <f t="shared" si="82"/>
        <v>0</v>
      </c>
      <c r="AM230" s="23" t="b">
        <f t="shared" si="83"/>
        <v>0</v>
      </c>
      <c r="AN230" s="23" t="b">
        <f t="shared" si="84"/>
        <v>0</v>
      </c>
      <c r="AO230" s="23" t="b">
        <f t="shared" si="85"/>
        <v>0</v>
      </c>
      <c r="AP230" s="23" t="b">
        <f t="shared" si="86"/>
        <v>0</v>
      </c>
      <c r="AQ230" s="23" t="b">
        <f t="shared" si="87"/>
        <v>0</v>
      </c>
      <c r="AR230" s="23" t="b">
        <f t="shared" si="88"/>
        <v>0</v>
      </c>
      <c r="AS230" s="23" t="b">
        <v>1</v>
      </c>
      <c r="AT230" s="23" t="b">
        <f t="shared" si="89"/>
        <v>0</v>
      </c>
      <c r="AU230" s="23" t="b">
        <f t="shared" si="90"/>
        <v>0</v>
      </c>
      <c r="AV230" s="23" t="b">
        <f t="shared" si="91"/>
        <v>0</v>
      </c>
      <c r="AW230" s="23" t="b">
        <f t="shared" si="92"/>
        <v>0</v>
      </c>
      <c r="AX230" s="23" t="s">
        <v>99</v>
      </c>
      <c r="AY230" s="23" t="b">
        <v>0</v>
      </c>
      <c r="AZ230" s="23" t="s">
        <v>105</v>
      </c>
    </row>
    <row r="231" spans="1:52" x14ac:dyDescent="0.2">
      <c r="A231" s="23">
        <v>279</v>
      </c>
      <c r="B231" s="23" t="s">
        <v>1124</v>
      </c>
      <c r="C231" s="23" t="s">
        <v>1137</v>
      </c>
      <c r="D231" s="23" t="b">
        <v>1</v>
      </c>
      <c r="E231" s="23" t="s">
        <v>1138</v>
      </c>
      <c r="F231" s="23" t="s">
        <v>1139</v>
      </c>
      <c r="G231" s="23" t="s">
        <v>92</v>
      </c>
      <c r="H231" s="23" t="s">
        <v>116</v>
      </c>
      <c r="I231" s="23" t="s">
        <v>1140</v>
      </c>
      <c r="J231" s="23" t="s">
        <v>95</v>
      </c>
      <c r="K231" s="23" t="s">
        <v>118</v>
      </c>
      <c r="Q231" s="23">
        <v>2018</v>
      </c>
      <c r="R231" s="23" t="s">
        <v>132</v>
      </c>
      <c r="T231" s="23" t="s">
        <v>207</v>
      </c>
      <c r="U231" s="23" t="s">
        <v>111</v>
      </c>
      <c r="V231" s="23" t="s">
        <v>112</v>
      </c>
      <c r="W231" s="23" t="s">
        <v>121</v>
      </c>
      <c r="X231" s="23" t="s">
        <v>104</v>
      </c>
      <c r="Y231" s="23" t="b">
        <f t="shared" si="70"/>
        <v>0</v>
      </c>
      <c r="Z231" s="23" t="b">
        <f t="shared" si="71"/>
        <v>0</v>
      </c>
      <c r="AA231" s="23" t="b">
        <f t="shared" si="72"/>
        <v>0</v>
      </c>
      <c r="AB231" s="23" t="b">
        <f t="shared" si="73"/>
        <v>0</v>
      </c>
      <c r="AC231" s="23" t="b">
        <f t="shared" si="74"/>
        <v>0</v>
      </c>
      <c r="AD231" s="23" t="b">
        <f t="shared" si="75"/>
        <v>0</v>
      </c>
      <c r="AE231" s="23" t="b">
        <f t="shared" si="76"/>
        <v>0</v>
      </c>
      <c r="AF231" s="23" t="b">
        <f t="shared" si="77"/>
        <v>0</v>
      </c>
      <c r="AG231" s="23" t="b">
        <f t="shared" si="78"/>
        <v>0</v>
      </c>
      <c r="AH231" s="23" t="b">
        <f t="shared" si="79"/>
        <v>0</v>
      </c>
      <c r="AI231" s="23" t="b">
        <f t="shared" si="80"/>
        <v>0</v>
      </c>
      <c r="AJ231" s="23" t="b">
        <v>1</v>
      </c>
      <c r="AK231" s="23" t="b">
        <f t="shared" si="81"/>
        <v>0</v>
      </c>
      <c r="AL231" s="23" t="b">
        <f t="shared" si="82"/>
        <v>0</v>
      </c>
      <c r="AM231" s="23" t="b">
        <f t="shared" si="83"/>
        <v>0</v>
      </c>
      <c r="AN231" s="23" t="b">
        <f t="shared" si="84"/>
        <v>0</v>
      </c>
      <c r="AO231" s="23" t="b">
        <f t="shared" si="85"/>
        <v>0</v>
      </c>
      <c r="AP231" s="23" t="b">
        <f t="shared" si="86"/>
        <v>0</v>
      </c>
      <c r="AQ231" s="23" t="b">
        <f t="shared" si="87"/>
        <v>0</v>
      </c>
      <c r="AR231" s="23" t="b">
        <f t="shared" si="88"/>
        <v>0</v>
      </c>
      <c r="AS231" s="23" t="b">
        <v>1</v>
      </c>
      <c r="AT231" s="23" t="b">
        <f t="shared" si="89"/>
        <v>0</v>
      </c>
      <c r="AU231" s="23" t="b">
        <f t="shared" si="90"/>
        <v>0</v>
      </c>
      <c r="AV231" s="23" t="b">
        <f t="shared" si="91"/>
        <v>0</v>
      </c>
      <c r="AW231" s="23" t="b">
        <f t="shared" si="92"/>
        <v>0</v>
      </c>
      <c r="AX231" s="23" t="s">
        <v>132</v>
      </c>
      <c r="AY231" s="23" t="b">
        <v>0</v>
      </c>
      <c r="AZ231" s="23" t="s">
        <v>105</v>
      </c>
    </row>
    <row r="232" spans="1:52" x14ac:dyDescent="0.2">
      <c r="A232" s="23">
        <v>280</v>
      </c>
      <c r="B232" s="23" t="s">
        <v>1124</v>
      </c>
      <c r="C232" s="23" t="s">
        <v>1141</v>
      </c>
      <c r="D232" s="23" t="b">
        <v>1</v>
      </c>
      <c r="E232" s="23" t="s">
        <v>1142</v>
      </c>
      <c r="F232" s="23" t="s">
        <v>1143</v>
      </c>
      <c r="G232" s="23" t="s">
        <v>92</v>
      </c>
      <c r="H232" s="23" t="s">
        <v>116</v>
      </c>
      <c r="I232" s="23" t="s">
        <v>1144</v>
      </c>
      <c r="J232" s="23" t="s">
        <v>95</v>
      </c>
      <c r="K232" s="23" t="s">
        <v>118</v>
      </c>
      <c r="Q232" s="23">
        <v>2018</v>
      </c>
      <c r="R232" s="23" t="s">
        <v>119</v>
      </c>
      <c r="T232" s="23" t="s">
        <v>100</v>
      </c>
      <c r="U232" s="23" t="s">
        <v>101</v>
      </c>
      <c r="V232" s="23" t="s">
        <v>102</v>
      </c>
      <c r="W232" s="23" t="s">
        <v>121</v>
      </c>
      <c r="X232" s="23" t="s">
        <v>104</v>
      </c>
      <c r="Y232" s="23" t="b">
        <f t="shared" si="70"/>
        <v>0</v>
      </c>
      <c r="Z232" s="23" t="b">
        <f t="shared" si="71"/>
        <v>0</v>
      </c>
      <c r="AA232" s="23" t="b">
        <f t="shared" si="72"/>
        <v>0</v>
      </c>
      <c r="AB232" s="23" t="b">
        <f t="shared" si="73"/>
        <v>0</v>
      </c>
      <c r="AC232" s="23" t="b">
        <f t="shared" si="74"/>
        <v>0</v>
      </c>
      <c r="AD232" s="23" t="b">
        <f t="shared" si="75"/>
        <v>0</v>
      </c>
      <c r="AE232" s="23" t="b">
        <f t="shared" si="76"/>
        <v>0</v>
      </c>
      <c r="AF232" s="23" t="b">
        <f t="shared" si="77"/>
        <v>0</v>
      </c>
      <c r="AG232" s="23" t="b">
        <f t="shared" si="78"/>
        <v>0</v>
      </c>
      <c r="AH232" s="23" t="b">
        <f t="shared" si="79"/>
        <v>0</v>
      </c>
      <c r="AI232" s="23" t="b">
        <f t="shared" si="80"/>
        <v>0</v>
      </c>
      <c r="AJ232" s="23" t="b">
        <v>1</v>
      </c>
      <c r="AK232" s="23" t="b">
        <f t="shared" si="81"/>
        <v>0</v>
      </c>
      <c r="AL232" s="23" t="b">
        <f t="shared" si="82"/>
        <v>0</v>
      </c>
      <c r="AM232" s="23" t="b">
        <f t="shared" si="83"/>
        <v>0</v>
      </c>
      <c r="AN232" s="23" t="b">
        <f t="shared" si="84"/>
        <v>0</v>
      </c>
      <c r="AO232" s="23" t="b">
        <f t="shared" si="85"/>
        <v>0</v>
      </c>
      <c r="AP232" s="23" t="b">
        <f t="shared" si="86"/>
        <v>0</v>
      </c>
      <c r="AQ232" s="23" t="b">
        <f t="shared" si="87"/>
        <v>0</v>
      </c>
      <c r="AR232" s="23" t="b">
        <f t="shared" si="88"/>
        <v>0</v>
      </c>
      <c r="AS232" s="23" t="b">
        <v>1</v>
      </c>
      <c r="AT232" s="23" t="b">
        <f t="shared" si="89"/>
        <v>0</v>
      </c>
      <c r="AU232" s="23" t="b">
        <f t="shared" si="90"/>
        <v>0</v>
      </c>
      <c r="AV232" s="23" t="b">
        <f t="shared" si="91"/>
        <v>0</v>
      </c>
      <c r="AW232" s="23" t="b">
        <f t="shared" si="92"/>
        <v>0</v>
      </c>
      <c r="AX232" s="23" t="s">
        <v>99</v>
      </c>
      <c r="AY232" s="23" t="b">
        <v>0</v>
      </c>
      <c r="AZ232" s="23" t="s">
        <v>105</v>
      </c>
    </row>
    <row r="233" spans="1:52" x14ac:dyDescent="0.2">
      <c r="A233" s="23">
        <v>281</v>
      </c>
      <c r="B233" s="23" t="s">
        <v>1124</v>
      </c>
      <c r="C233" s="23" t="s">
        <v>1145</v>
      </c>
      <c r="D233" s="23" t="b">
        <v>1</v>
      </c>
      <c r="E233" s="23" t="s">
        <v>1146</v>
      </c>
      <c r="F233" s="23" t="s">
        <v>1147</v>
      </c>
      <c r="G233" s="23" t="s">
        <v>92</v>
      </c>
      <c r="H233" s="23" t="s">
        <v>93</v>
      </c>
      <c r="I233" s="23" t="s">
        <v>1148</v>
      </c>
      <c r="J233" s="23" t="s">
        <v>95</v>
      </c>
      <c r="K233" s="23" t="s">
        <v>96</v>
      </c>
      <c r="Q233" s="23">
        <v>2011</v>
      </c>
      <c r="R233" s="23" t="s">
        <v>119</v>
      </c>
      <c r="T233" s="23" t="s">
        <v>207</v>
      </c>
      <c r="U233" s="23" t="s">
        <v>111</v>
      </c>
      <c r="V233" s="23" t="s">
        <v>112</v>
      </c>
      <c r="W233" s="23" t="s">
        <v>103</v>
      </c>
      <c r="X233" s="23" t="s">
        <v>104</v>
      </c>
      <c r="Y233" s="23" t="b">
        <f t="shared" si="70"/>
        <v>0</v>
      </c>
      <c r="Z233" s="23" t="b">
        <f t="shared" si="71"/>
        <v>0</v>
      </c>
      <c r="AA233" s="23" t="b">
        <f t="shared" si="72"/>
        <v>0</v>
      </c>
      <c r="AB233" s="23" t="b">
        <f t="shared" si="73"/>
        <v>0</v>
      </c>
      <c r="AC233" s="23" t="b">
        <f t="shared" si="74"/>
        <v>0</v>
      </c>
      <c r="AD233" s="23" t="b">
        <f t="shared" si="75"/>
        <v>0</v>
      </c>
      <c r="AE233" s="23" t="b">
        <f t="shared" si="76"/>
        <v>0</v>
      </c>
      <c r="AF233" s="23" t="b">
        <f t="shared" si="77"/>
        <v>0</v>
      </c>
      <c r="AG233" s="23" t="b">
        <f t="shared" si="78"/>
        <v>0</v>
      </c>
      <c r="AH233" s="23" t="b">
        <f t="shared" si="79"/>
        <v>0</v>
      </c>
      <c r="AI233" s="23" t="b">
        <f t="shared" si="80"/>
        <v>0</v>
      </c>
      <c r="AJ233" s="23" t="b">
        <v>1</v>
      </c>
      <c r="AK233" s="23" t="b">
        <f t="shared" si="81"/>
        <v>0</v>
      </c>
      <c r="AL233" s="23" t="b">
        <f t="shared" si="82"/>
        <v>0</v>
      </c>
      <c r="AM233" s="23" t="b">
        <f t="shared" si="83"/>
        <v>0</v>
      </c>
      <c r="AN233" s="23" t="b">
        <f t="shared" si="84"/>
        <v>0</v>
      </c>
      <c r="AO233" s="23" t="b">
        <f t="shared" si="85"/>
        <v>0</v>
      </c>
      <c r="AP233" s="23" t="b">
        <f t="shared" si="86"/>
        <v>0</v>
      </c>
      <c r="AQ233" s="23" t="b">
        <f t="shared" si="87"/>
        <v>0</v>
      </c>
      <c r="AR233" s="23" t="b">
        <f t="shared" si="88"/>
        <v>0</v>
      </c>
      <c r="AS233" s="23" t="b">
        <v>1</v>
      </c>
      <c r="AT233" s="23" t="b">
        <f t="shared" si="89"/>
        <v>0</v>
      </c>
      <c r="AU233" s="23" t="b">
        <f t="shared" si="90"/>
        <v>0</v>
      </c>
      <c r="AV233" s="23" t="b">
        <f t="shared" si="91"/>
        <v>0</v>
      </c>
      <c r="AW233" s="23" t="b">
        <f t="shared" si="92"/>
        <v>0</v>
      </c>
      <c r="AX233" s="23" t="s">
        <v>99</v>
      </c>
      <c r="AY233" s="23" t="b">
        <v>0</v>
      </c>
      <c r="AZ233" s="23" t="s">
        <v>105</v>
      </c>
    </row>
    <row r="234" spans="1:52" x14ac:dyDescent="0.2">
      <c r="A234" s="23">
        <v>282</v>
      </c>
      <c r="B234" s="23" t="s">
        <v>1149</v>
      </c>
      <c r="C234" s="23" t="s">
        <v>1150</v>
      </c>
      <c r="D234" s="23" t="b">
        <v>1</v>
      </c>
      <c r="E234" s="23" t="s">
        <v>1151</v>
      </c>
      <c r="F234" s="23" t="s">
        <v>1152</v>
      </c>
      <c r="G234" s="23" t="s">
        <v>92</v>
      </c>
      <c r="H234" s="23" t="s">
        <v>388</v>
      </c>
      <c r="J234" s="23" t="s">
        <v>240</v>
      </c>
      <c r="K234" s="23" t="s">
        <v>1153</v>
      </c>
      <c r="Q234" s="23">
        <v>2018</v>
      </c>
      <c r="R234" s="23" t="s">
        <v>242</v>
      </c>
      <c r="T234" s="23" t="s">
        <v>243</v>
      </c>
      <c r="U234" s="23" t="s">
        <v>244</v>
      </c>
      <c r="V234" s="23" t="s">
        <v>223</v>
      </c>
      <c r="W234" s="23" t="s">
        <v>103</v>
      </c>
      <c r="X234" s="23" t="s">
        <v>104</v>
      </c>
      <c r="Y234" s="23" t="b">
        <f t="shared" si="70"/>
        <v>0</v>
      </c>
      <c r="Z234" s="23" t="b">
        <f t="shared" si="71"/>
        <v>0</v>
      </c>
      <c r="AA234" s="23" t="b">
        <f t="shared" si="72"/>
        <v>0</v>
      </c>
      <c r="AB234" s="23" t="b">
        <f t="shared" si="73"/>
        <v>0</v>
      </c>
      <c r="AC234" s="23" t="b">
        <f t="shared" si="74"/>
        <v>0</v>
      </c>
      <c r="AD234" s="23" t="b">
        <f t="shared" si="75"/>
        <v>0</v>
      </c>
      <c r="AE234" s="23" t="b">
        <f t="shared" si="76"/>
        <v>0</v>
      </c>
      <c r="AF234" s="23" t="b">
        <f t="shared" si="77"/>
        <v>0</v>
      </c>
      <c r="AG234" s="23" t="b">
        <f t="shared" si="78"/>
        <v>0</v>
      </c>
      <c r="AH234" s="23" t="b">
        <f t="shared" si="79"/>
        <v>0</v>
      </c>
      <c r="AI234" s="23" t="b">
        <f t="shared" si="80"/>
        <v>0</v>
      </c>
      <c r="AJ234" s="23" t="b">
        <v>1</v>
      </c>
      <c r="AK234" s="23" t="b">
        <f t="shared" si="81"/>
        <v>0</v>
      </c>
      <c r="AL234" s="23" t="b">
        <f t="shared" si="82"/>
        <v>0</v>
      </c>
      <c r="AM234" s="23" t="b">
        <f t="shared" si="83"/>
        <v>0</v>
      </c>
      <c r="AN234" s="23" t="b">
        <f t="shared" si="84"/>
        <v>0</v>
      </c>
      <c r="AO234" s="23" t="b">
        <f t="shared" si="85"/>
        <v>0</v>
      </c>
      <c r="AP234" s="23" t="b">
        <f t="shared" si="86"/>
        <v>0</v>
      </c>
      <c r="AQ234" s="23" t="b">
        <f t="shared" si="87"/>
        <v>0</v>
      </c>
      <c r="AR234" s="23" t="b">
        <f t="shared" si="88"/>
        <v>0</v>
      </c>
      <c r="AS234" s="23" t="b">
        <v>1</v>
      </c>
      <c r="AT234" s="23" t="b">
        <f t="shared" si="89"/>
        <v>0</v>
      </c>
      <c r="AU234" s="23" t="b">
        <f t="shared" si="90"/>
        <v>0</v>
      </c>
      <c r="AV234" s="23" t="b">
        <f t="shared" si="91"/>
        <v>0</v>
      </c>
      <c r="AW234" s="23" t="b">
        <f t="shared" si="92"/>
        <v>0</v>
      </c>
      <c r="AX234" s="23" t="s">
        <v>242</v>
      </c>
      <c r="AY234" s="23" t="b">
        <v>1</v>
      </c>
      <c r="AZ234" s="23" t="s">
        <v>105</v>
      </c>
    </row>
    <row r="235" spans="1:52" x14ac:dyDescent="0.2">
      <c r="A235" s="23">
        <v>283</v>
      </c>
      <c r="B235" s="23" t="s">
        <v>1149</v>
      </c>
      <c r="C235" s="23" t="s">
        <v>1154</v>
      </c>
      <c r="D235" s="23" t="b">
        <v>1</v>
      </c>
      <c r="E235" s="23" t="s">
        <v>1155</v>
      </c>
      <c r="F235" s="23" t="s">
        <v>1156</v>
      </c>
      <c r="G235" s="23" t="s">
        <v>92</v>
      </c>
      <c r="H235" s="23" t="s">
        <v>388</v>
      </c>
      <c r="J235" s="23" t="s">
        <v>240</v>
      </c>
      <c r="K235" s="23" t="s">
        <v>1157</v>
      </c>
      <c r="Q235" s="23">
        <v>2018</v>
      </c>
      <c r="R235" s="23" t="s">
        <v>242</v>
      </c>
      <c r="T235" s="23" t="s">
        <v>243</v>
      </c>
      <c r="U235" s="23" t="s">
        <v>244</v>
      </c>
      <c r="V235" s="23" t="s">
        <v>223</v>
      </c>
      <c r="W235" s="23" t="s">
        <v>103</v>
      </c>
      <c r="X235" s="23" t="s">
        <v>104</v>
      </c>
      <c r="Y235" s="23" t="b">
        <f t="shared" si="70"/>
        <v>0</v>
      </c>
      <c r="Z235" s="23" t="b">
        <f t="shared" si="71"/>
        <v>0</v>
      </c>
      <c r="AA235" s="23" t="b">
        <f t="shared" si="72"/>
        <v>0</v>
      </c>
      <c r="AB235" s="23" t="b">
        <f t="shared" si="73"/>
        <v>0</v>
      </c>
      <c r="AC235" s="23" t="b">
        <f t="shared" si="74"/>
        <v>0</v>
      </c>
      <c r="AD235" s="23" t="b">
        <f t="shared" si="75"/>
        <v>0</v>
      </c>
      <c r="AE235" s="23" t="b">
        <f t="shared" si="76"/>
        <v>0</v>
      </c>
      <c r="AF235" s="23" t="b">
        <f t="shared" si="77"/>
        <v>0</v>
      </c>
      <c r="AG235" s="23" t="b">
        <f t="shared" si="78"/>
        <v>0</v>
      </c>
      <c r="AH235" s="23" t="b">
        <f t="shared" si="79"/>
        <v>0</v>
      </c>
      <c r="AI235" s="23" t="b">
        <f t="shared" si="80"/>
        <v>0</v>
      </c>
      <c r="AJ235" s="23" t="b">
        <v>1</v>
      </c>
      <c r="AK235" s="23" t="b">
        <f t="shared" si="81"/>
        <v>0</v>
      </c>
      <c r="AL235" s="23" t="b">
        <f t="shared" si="82"/>
        <v>0</v>
      </c>
      <c r="AM235" s="23" t="b">
        <f t="shared" si="83"/>
        <v>0</v>
      </c>
      <c r="AN235" s="23" t="b">
        <f t="shared" si="84"/>
        <v>0</v>
      </c>
      <c r="AO235" s="23" t="b">
        <f t="shared" si="85"/>
        <v>0</v>
      </c>
      <c r="AP235" s="23" t="b">
        <f t="shared" si="86"/>
        <v>0</v>
      </c>
      <c r="AQ235" s="23" t="b">
        <f t="shared" si="87"/>
        <v>0</v>
      </c>
      <c r="AR235" s="23" t="b">
        <f t="shared" si="88"/>
        <v>0</v>
      </c>
      <c r="AS235" s="23" t="b">
        <v>1</v>
      </c>
      <c r="AT235" s="23" t="b">
        <f t="shared" si="89"/>
        <v>0</v>
      </c>
      <c r="AU235" s="23" t="b">
        <f t="shared" si="90"/>
        <v>0</v>
      </c>
      <c r="AV235" s="23" t="b">
        <f t="shared" si="91"/>
        <v>0</v>
      </c>
      <c r="AW235" s="23" t="b">
        <f t="shared" si="92"/>
        <v>0</v>
      </c>
      <c r="AX235" s="23" t="s">
        <v>242</v>
      </c>
      <c r="AY235" s="23" t="b">
        <v>1</v>
      </c>
      <c r="AZ235" s="23" t="s">
        <v>105</v>
      </c>
    </row>
    <row r="236" spans="1:52" x14ac:dyDescent="0.2">
      <c r="A236" s="23">
        <v>284</v>
      </c>
      <c r="B236" s="23" t="s">
        <v>1149</v>
      </c>
      <c r="C236" s="23" t="s">
        <v>1158</v>
      </c>
      <c r="D236" s="23" t="b">
        <v>1</v>
      </c>
      <c r="E236" s="23" t="s">
        <v>1159</v>
      </c>
      <c r="F236" s="23" t="s">
        <v>1160</v>
      </c>
      <c r="G236" s="23" t="s">
        <v>92</v>
      </c>
      <c r="H236" s="23" t="s">
        <v>388</v>
      </c>
      <c r="J236" s="23" t="s">
        <v>240</v>
      </c>
      <c r="K236" s="23" t="s">
        <v>1161</v>
      </c>
      <c r="Q236" s="23">
        <v>2018</v>
      </c>
      <c r="R236" s="23" t="s">
        <v>242</v>
      </c>
      <c r="T236" s="23" t="s">
        <v>243</v>
      </c>
      <c r="U236" s="23" t="s">
        <v>244</v>
      </c>
      <c r="V236" s="23" t="s">
        <v>223</v>
      </c>
      <c r="W236" s="23" t="s">
        <v>103</v>
      </c>
      <c r="X236" s="23" t="s">
        <v>104</v>
      </c>
      <c r="Y236" s="23" t="b">
        <f t="shared" si="70"/>
        <v>0</v>
      </c>
      <c r="Z236" s="23" t="b">
        <f t="shared" si="71"/>
        <v>0</v>
      </c>
      <c r="AA236" s="23" t="b">
        <f t="shared" si="72"/>
        <v>0</v>
      </c>
      <c r="AB236" s="23" t="b">
        <f t="shared" si="73"/>
        <v>0</v>
      </c>
      <c r="AC236" s="23" t="b">
        <f t="shared" si="74"/>
        <v>0</v>
      </c>
      <c r="AD236" s="23" t="b">
        <f t="shared" si="75"/>
        <v>0</v>
      </c>
      <c r="AE236" s="23" t="b">
        <f t="shared" si="76"/>
        <v>0</v>
      </c>
      <c r="AF236" s="23" t="b">
        <f t="shared" si="77"/>
        <v>0</v>
      </c>
      <c r="AG236" s="23" t="b">
        <f t="shared" si="78"/>
        <v>0</v>
      </c>
      <c r="AH236" s="23" t="b">
        <f t="shared" si="79"/>
        <v>0</v>
      </c>
      <c r="AI236" s="23" t="b">
        <f t="shared" si="80"/>
        <v>0</v>
      </c>
      <c r="AJ236" s="23" t="b">
        <v>1</v>
      </c>
      <c r="AK236" s="23" t="b">
        <f t="shared" si="81"/>
        <v>0</v>
      </c>
      <c r="AL236" s="23" t="b">
        <f t="shared" si="82"/>
        <v>0</v>
      </c>
      <c r="AM236" s="23" t="b">
        <f t="shared" si="83"/>
        <v>0</v>
      </c>
      <c r="AN236" s="23" t="b">
        <f t="shared" si="84"/>
        <v>0</v>
      </c>
      <c r="AO236" s="23" t="b">
        <f t="shared" si="85"/>
        <v>0</v>
      </c>
      <c r="AP236" s="23" t="b">
        <f t="shared" si="86"/>
        <v>0</v>
      </c>
      <c r="AQ236" s="23" t="b">
        <f t="shared" si="87"/>
        <v>0</v>
      </c>
      <c r="AR236" s="23" t="b">
        <f t="shared" si="88"/>
        <v>0</v>
      </c>
      <c r="AS236" s="23" t="b">
        <v>1</v>
      </c>
      <c r="AT236" s="23" t="b">
        <f t="shared" si="89"/>
        <v>0</v>
      </c>
      <c r="AU236" s="23" t="b">
        <f t="shared" si="90"/>
        <v>0</v>
      </c>
      <c r="AV236" s="23" t="b">
        <f t="shared" si="91"/>
        <v>0</v>
      </c>
      <c r="AW236" s="23" t="b">
        <f t="shared" si="92"/>
        <v>0</v>
      </c>
      <c r="AX236" s="23" t="s">
        <v>242</v>
      </c>
      <c r="AY236" s="23" t="b">
        <v>1</v>
      </c>
      <c r="AZ236" s="23" t="s">
        <v>105</v>
      </c>
    </row>
    <row r="237" spans="1:52" x14ac:dyDescent="0.2">
      <c r="A237" s="23">
        <v>285</v>
      </c>
      <c r="B237" s="23" t="s">
        <v>1149</v>
      </c>
      <c r="C237" s="23" t="s">
        <v>1162</v>
      </c>
      <c r="D237" s="23" t="b">
        <v>1</v>
      </c>
      <c r="E237" s="23" t="s">
        <v>1163</v>
      </c>
      <c r="F237" s="23" t="s">
        <v>1164</v>
      </c>
      <c r="G237" s="23" t="s">
        <v>92</v>
      </c>
      <c r="H237" s="23" t="s">
        <v>388</v>
      </c>
      <c r="J237" s="23" t="s">
        <v>240</v>
      </c>
      <c r="K237" s="23" t="s">
        <v>1165</v>
      </c>
      <c r="Q237" s="23">
        <v>2018</v>
      </c>
      <c r="R237" s="23" t="s">
        <v>242</v>
      </c>
      <c r="T237" s="23" t="s">
        <v>243</v>
      </c>
      <c r="U237" s="23" t="s">
        <v>244</v>
      </c>
      <c r="V237" s="23" t="s">
        <v>223</v>
      </c>
      <c r="W237" s="23" t="s">
        <v>103</v>
      </c>
      <c r="X237" s="23" t="s">
        <v>104</v>
      </c>
      <c r="Y237" s="23" t="b">
        <f t="shared" si="70"/>
        <v>0</v>
      </c>
      <c r="Z237" s="23" t="b">
        <f t="shared" si="71"/>
        <v>0</v>
      </c>
      <c r="AA237" s="23" t="b">
        <f t="shared" si="72"/>
        <v>0</v>
      </c>
      <c r="AB237" s="23" t="b">
        <f t="shared" si="73"/>
        <v>0</v>
      </c>
      <c r="AC237" s="23" t="b">
        <f t="shared" si="74"/>
        <v>0</v>
      </c>
      <c r="AD237" s="23" t="b">
        <f t="shared" si="75"/>
        <v>0</v>
      </c>
      <c r="AE237" s="23" t="b">
        <f t="shared" si="76"/>
        <v>0</v>
      </c>
      <c r="AF237" s="23" t="b">
        <f t="shared" si="77"/>
        <v>0</v>
      </c>
      <c r="AG237" s="23" t="b">
        <f t="shared" si="78"/>
        <v>0</v>
      </c>
      <c r="AH237" s="23" t="b">
        <f t="shared" si="79"/>
        <v>0</v>
      </c>
      <c r="AI237" s="23" t="b">
        <f t="shared" si="80"/>
        <v>0</v>
      </c>
      <c r="AJ237" s="23" t="b">
        <v>1</v>
      </c>
      <c r="AK237" s="23" t="b">
        <f t="shared" si="81"/>
        <v>0</v>
      </c>
      <c r="AL237" s="23" t="b">
        <f t="shared" si="82"/>
        <v>0</v>
      </c>
      <c r="AM237" s="23" t="b">
        <f t="shared" si="83"/>
        <v>0</v>
      </c>
      <c r="AN237" s="23" t="b">
        <f t="shared" si="84"/>
        <v>0</v>
      </c>
      <c r="AO237" s="23" t="b">
        <f t="shared" si="85"/>
        <v>0</v>
      </c>
      <c r="AP237" s="23" t="b">
        <f t="shared" si="86"/>
        <v>0</v>
      </c>
      <c r="AQ237" s="23" t="b">
        <f t="shared" si="87"/>
        <v>0</v>
      </c>
      <c r="AR237" s="23" t="b">
        <f t="shared" si="88"/>
        <v>0</v>
      </c>
      <c r="AS237" s="23" t="b">
        <v>1</v>
      </c>
      <c r="AT237" s="23" t="b">
        <f t="shared" si="89"/>
        <v>0</v>
      </c>
      <c r="AU237" s="23" t="b">
        <f t="shared" si="90"/>
        <v>0</v>
      </c>
      <c r="AV237" s="23" t="b">
        <f t="shared" si="91"/>
        <v>0</v>
      </c>
      <c r="AW237" s="23" t="b">
        <f t="shared" si="92"/>
        <v>0</v>
      </c>
      <c r="AX237" s="23" t="s">
        <v>242</v>
      </c>
      <c r="AY237" s="23" t="b">
        <v>1</v>
      </c>
      <c r="AZ237" s="23" t="s">
        <v>105</v>
      </c>
    </row>
    <row r="238" spans="1:52" x14ac:dyDescent="0.2">
      <c r="A238" s="23">
        <v>286</v>
      </c>
      <c r="B238" s="23" t="s">
        <v>1149</v>
      </c>
      <c r="C238" s="23" t="s">
        <v>1166</v>
      </c>
      <c r="D238" s="23" t="b">
        <v>1</v>
      </c>
      <c r="E238" s="23" t="s">
        <v>1167</v>
      </c>
      <c r="F238" s="23" t="s">
        <v>1168</v>
      </c>
      <c r="G238" s="23" t="s">
        <v>92</v>
      </c>
      <c r="H238" s="23" t="s">
        <v>388</v>
      </c>
      <c r="J238" s="23" t="s">
        <v>240</v>
      </c>
      <c r="K238" s="23" t="s">
        <v>1169</v>
      </c>
      <c r="Q238" s="23">
        <v>2018</v>
      </c>
      <c r="R238" s="23" t="s">
        <v>242</v>
      </c>
      <c r="T238" s="23" t="s">
        <v>243</v>
      </c>
      <c r="U238" s="23" t="s">
        <v>244</v>
      </c>
      <c r="V238" s="23" t="s">
        <v>223</v>
      </c>
      <c r="W238" s="23" t="s">
        <v>103</v>
      </c>
      <c r="X238" s="23" t="s">
        <v>104</v>
      </c>
      <c r="Y238" s="23" t="b">
        <f t="shared" si="70"/>
        <v>0</v>
      </c>
      <c r="Z238" s="23" t="b">
        <f t="shared" si="71"/>
        <v>0</v>
      </c>
      <c r="AA238" s="23" t="b">
        <f t="shared" si="72"/>
        <v>0</v>
      </c>
      <c r="AB238" s="23" t="b">
        <f t="shared" si="73"/>
        <v>0</v>
      </c>
      <c r="AC238" s="23" t="b">
        <f t="shared" si="74"/>
        <v>0</v>
      </c>
      <c r="AD238" s="23" t="b">
        <f t="shared" si="75"/>
        <v>0</v>
      </c>
      <c r="AE238" s="23" t="b">
        <f t="shared" si="76"/>
        <v>0</v>
      </c>
      <c r="AF238" s="23" t="b">
        <f t="shared" si="77"/>
        <v>0</v>
      </c>
      <c r="AG238" s="23" t="b">
        <f t="shared" si="78"/>
        <v>0</v>
      </c>
      <c r="AH238" s="23" t="b">
        <f t="shared" si="79"/>
        <v>0</v>
      </c>
      <c r="AI238" s="23" t="b">
        <f t="shared" si="80"/>
        <v>0</v>
      </c>
      <c r="AJ238" s="23" t="b">
        <v>1</v>
      </c>
      <c r="AK238" s="23" t="b">
        <f t="shared" si="81"/>
        <v>0</v>
      </c>
      <c r="AL238" s="23" t="b">
        <f t="shared" si="82"/>
        <v>0</v>
      </c>
      <c r="AM238" s="23" t="b">
        <f t="shared" si="83"/>
        <v>0</v>
      </c>
      <c r="AN238" s="23" t="b">
        <f t="shared" si="84"/>
        <v>0</v>
      </c>
      <c r="AO238" s="23" t="b">
        <f t="shared" si="85"/>
        <v>0</v>
      </c>
      <c r="AP238" s="23" t="b">
        <f t="shared" si="86"/>
        <v>0</v>
      </c>
      <c r="AQ238" s="23" t="b">
        <f t="shared" si="87"/>
        <v>0</v>
      </c>
      <c r="AR238" s="23" t="b">
        <f t="shared" si="88"/>
        <v>0</v>
      </c>
      <c r="AS238" s="23" t="b">
        <v>1</v>
      </c>
      <c r="AT238" s="23" t="b">
        <f t="shared" si="89"/>
        <v>0</v>
      </c>
      <c r="AU238" s="23" t="b">
        <f t="shared" si="90"/>
        <v>0</v>
      </c>
      <c r="AV238" s="23" t="b">
        <f t="shared" si="91"/>
        <v>0</v>
      </c>
      <c r="AW238" s="23" t="b">
        <f t="shared" si="92"/>
        <v>0</v>
      </c>
      <c r="AX238" s="23" t="s">
        <v>242</v>
      </c>
      <c r="AY238" s="23" t="b">
        <v>1</v>
      </c>
      <c r="AZ238" s="23" t="s">
        <v>105</v>
      </c>
    </row>
    <row r="239" spans="1:52" x14ac:dyDescent="0.2">
      <c r="A239" s="23">
        <v>287</v>
      </c>
      <c r="B239" s="23" t="s">
        <v>1149</v>
      </c>
      <c r="C239" s="23" t="s">
        <v>1170</v>
      </c>
      <c r="D239" s="23" t="b">
        <v>1</v>
      </c>
      <c r="E239" s="23" t="s">
        <v>1171</v>
      </c>
      <c r="F239" s="23" t="s">
        <v>1172</v>
      </c>
      <c r="G239" s="23" t="s">
        <v>92</v>
      </c>
      <c r="H239" s="23" t="s">
        <v>388</v>
      </c>
      <c r="J239" s="23" t="s">
        <v>240</v>
      </c>
      <c r="K239" s="23" t="s">
        <v>1173</v>
      </c>
      <c r="Q239" s="23">
        <v>2018</v>
      </c>
      <c r="R239" s="23" t="s">
        <v>242</v>
      </c>
      <c r="T239" s="23" t="s">
        <v>243</v>
      </c>
      <c r="U239" s="23" t="s">
        <v>244</v>
      </c>
      <c r="V239" s="23" t="s">
        <v>223</v>
      </c>
      <c r="W239" s="23" t="s">
        <v>103</v>
      </c>
      <c r="X239" s="23" t="s">
        <v>104</v>
      </c>
      <c r="Y239" s="23" t="b">
        <f t="shared" si="70"/>
        <v>0</v>
      </c>
      <c r="Z239" s="23" t="b">
        <f t="shared" si="71"/>
        <v>0</v>
      </c>
      <c r="AA239" s="23" t="b">
        <f t="shared" si="72"/>
        <v>0</v>
      </c>
      <c r="AB239" s="23" t="b">
        <f t="shared" si="73"/>
        <v>0</v>
      </c>
      <c r="AC239" s="23" t="b">
        <f t="shared" si="74"/>
        <v>0</v>
      </c>
      <c r="AD239" s="23" t="b">
        <f t="shared" si="75"/>
        <v>0</v>
      </c>
      <c r="AE239" s="23" t="b">
        <f t="shared" si="76"/>
        <v>0</v>
      </c>
      <c r="AF239" s="23" t="b">
        <f t="shared" si="77"/>
        <v>0</v>
      </c>
      <c r="AG239" s="23" t="b">
        <f t="shared" si="78"/>
        <v>0</v>
      </c>
      <c r="AH239" s="23" t="b">
        <f t="shared" si="79"/>
        <v>0</v>
      </c>
      <c r="AI239" s="23" t="b">
        <f t="shared" si="80"/>
        <v>0</v>
      </c>
      <c r="AJ239" s="23" t="b">
        <v>1</v>
      </c>
      <c r="AK239" s="23" t="b">
        <f t="shared" si="81"/>
        <v>0</v>
      </c>
      <c r="AL239" s="23" t="b">
        <f t="shared" si="82"/>
        <v>0</v>
      </c>
      <c r="AM239" s="23" t="b">
        <f t="shared" si="83"/>
        <v>0</v>
      </c>
      <c r="AN239" s="23" t="b">
        <f t="shared" si="84"/>
        <v>0</v>
      </c>
      <c r="AO239" s="23" t="b">
        <f t="shared" si="85"/>
        <v>0</v>
      </c>
      <c r="AP239" s="23" t="b">
        <f t="shared" si="86"/>
        <v>0</v>
      </c>
      <c r="AQ239" s="23" t="b">
        <f t="shared" si="87"/>
        <v>0</v>
      </c>
      <c r="AR239" s="23" t="b">
        <f t="shared" si="88"/>
        <v>0</v>
      </c>
      <c r="AS239" s="23" t="b">
        <v>1</v>
      </c>
      <c r="AT239" s="23" t="b">
        <f t="shared" si="89"/>
        <v>0</v>
      </c>
      <c r="AU239" s="23" t="b">
        <f t="shared" si="90"/>
        <v>0</v>
      </c>
      <c r="AV239" s="23" t="b">
        <f t="shared" si="91"/>
        <v>0</v>
      </c>
      <c r="AW239" s="23" t="b">
        <f t="shared" si="92"/>
        <v>0</v>
      </c>
      <c r="AX239" s="23" t="s">
        <v>242</v>
      </c>
      <c r="AY239" s="23" t="b">
        <v>1</v>
      </c>
      <c r="AZ239" s="23" t="s">
        <v>105</v>
      </c>
    </row>
    <row r="240" spans="1:52" x14ac:dyDescent="0.2">
      <c r="A240" s="23">
        <v>288</v>
      </c>
      <c r="B240" s="23" t="s">
        <v>1149</v>
      </c>
      <c r="C240" s="23" t="s">
        <v>1174</v>
      </c>
      <c r="D240" s="23" t="b">
        <v>1</v>
      </c>
      <c r="E240" s="23" t="s">
        <v>1175</v>
      </c>
      <c r="F240" s="23" t="s">
        <v>1176</v>
      </c>
      <c r="G240" s="23" t="s">
        <v>92</v>
      </c>
      <c r="H240" s="23" t="s">
        <v>388</v>
      </c>
      <c r="J240" s="23" t="s">
        <v>240</v>
      </c>
      <c r="K240" s="23" t="s">
        <v>1177</v>
      </c>
      <c r="Q240" s="23">
        <v>2018</v>
      </c>
      <c r="R240" s="23" t="s">
        <v>242</v>
      </c>
      <c r="T240" s="23" t="s">
        <v>243</v>
      </c>
      <c r="U240" s="23" t="s">
        <v>244</v>
      </c>
      <c r="V240" s="23" t="s">
        <v>223</v>
      </c>
      <c r="W240" s="23" t="s">
        <v>103</v>
      </c>
      <c r="X240" s="23" t="s">
        <v>104</v>
      </c>
      <c r="Y240" s="23" t="b">
        <f t="shared" si="70"/>
        <v>0</v>
      </c>
      <c r="Z240" s="23" t="b">
        <f t="shared" si="71"/>
        <v>0</v>
      </c>
      <c r="AA240" s="23" t="b">
        <f t="shared" si="72"/>
        <v>0</v>
      </c>
      <c r="AB240" s="23" t="b">
        <f t="shared" si="73"/>
        <v>0</v>
      </c>
      <c r="AC240" s="23" t="b">
        <f t="shared" si="74"/>
        <v>0</v>
      </c>
      <c r="AD240" s="23" t="b">
        <f t="shared" si="75"/>
        <v>0</v>
      </c>
      <c r="AE240" s="23" t="b">
        <f t="shared" si="76"/>
        <v>0</v>
      </c>
      <c r="AF240" s="23" t="b">
        <f t="shared" si="77"/>
        <v>0</v>
      </c>
      <c r="AG240" s="23" t="b">
        <f t="shared" si="78"/>
        <v>0</v>
      </c>
      <c r="AH240" s="23" t="b">
        <f t="shared" si="79"/>
        <v>0</v>
      </c>
      <c r="AI240" s="23" t="b">
        <f t="shared" si="80"/>
        <v>0</v>
      </c>
      <c r="AJ240" s="23" t="b">
        <v>1</v>
      </c>
      <c r="AK240" s="23" t="b">
        <f t="shared" si="81"/>
        <v>0</v>
      </c>
      <c r="AL240" s="23" t="b">
        <f t="shared" si="82"/>
        <v>0</v>
      </c>
      <c r="AM240" s="23" t="b">
        <f t="shared" si="83"/>
        <v>0</v>
      </c>
      <c r="AN240" s="23" t="b">
        <f t="shared" si="84"/>
        <v>0</v>
      </c>
      <c r="AO240" s="23" t="b">
        <f t="shared" si="85"/>
        <v>0</v>
      </c>
      <c r="AP240" s="23" t="b">
        <f t="shared" si="86"/>
        <v>0</v>
      </c>
      <c r="AQ240" s="23" t="b">
        <f t="shared" si="87"/>
        <v>0</v>
      </c>
      <c r="AR240" s="23" t="b">
        <f t="shared" si="88"/>
        <v>0</v>
      </c>
      <c r="AS240" s="23" t="b">
        <v>1</v>
      </c>
      <c r="AT240" s="23" t="b">
        <f t="shared" si="89"/>
        <v>0</v>
      </c>
      <c r="AU240" s="23" t="b">
        <f t="shared" si="90"/>
        <v>0</v>
      </c>
      <c r="AV240" s="23" t="b">
        <f t="shared" si="91"/>
        <v>0</v>
      </c>
      <c r="AW240" s="23" t="b">
        <f t="shared" si="92"/>
        <v>0</v>
      </c>
      <c r="AX240" s="23" t="s">
        <v>242</v>
      </c>
      <c r="AY240" s="23" t="b">
        <v>1</v>
      </c>
      <c r="AZ240" s="23" t="s">
        <v>105</v>
      </c>
    </row>
    <row r="241" spans="1:52" x14ac:dyDescent="0.2">
      <c r="A241" s="23">
        <v>289</v>
      </c>
      <c r="B241" s="23" t="s">
        <v>1149</v>
      </c>
      <c r="C241" s="23" t="s">
        <v>1178</v>
      </c>
      <c r="D241" s="23" t="b">
        <v>1</v>
      </c>
      <c r="E241" s="23" t="s">
        <v>1179</v>
      </c>
      <c r="F241" s="23" t="s">
        <v>1180</v>
      </c>
      <c r="G241" s="23" t="s">
        <v>92</v>
      </c>
      <c r="H241" s="23" t="s">
        <v>388</v>
      </c>
      <c r="J241" s="23" t="s">
        <v>240</v>
      </c>
      <c r="K241" s="23" t="s">
        <v>1181</v>
      </c>
      <c r="P241" s="23">
        <v>2015</v>
      </c>
      <c r="Q241" s="23">
        <v>2018</v>
      </c>
      <c r="R241" s="23" t="s">
        <v>242</v>
      </c>
      <c r="T241" s="23" t="s">
        <v>243</v>
      </c>
      <c r="U241" s="23" t="s">
        <v>244</v>
      </c>
      <c r="V241" s="23" t="s">
        <v>223</v>
      </c>
      <c r="W241" s="23" t="s">
        <v>103</v>
      </c>
      <c r="X241" s="23" t="s">
        <v>104</v>
      </c>
      <c r="Y241" s="23" t="b">
        <f t="shared" si="70"/>
        <v>0</v>
      </c>
      <c r="Z241" s="23" t="b">
        <f t="shared" si="71"/>
        <v>0</v>
      </c>
      <c r="AA241" s="23" t="b">
        <f t="shared" si="72"/>
        <v>0</v>
      </c>
      <c r="AB241" s="23" t="b">
        <f t="shared" si="73"/>
        <v>0</v>
      </c>
      <c r="AC241" s="23" t="b">
        <f t="shared" si="74"/>
        <v>0</v>
      </c>
      <c r="AD241" s="23" t="b">
        <f t="shared" si="75"/>
        <v>0</v>
      </c>
      <c r="AE241" s="23" t="b">
        <f t="shared" si="76"/>
        <v>0</v>
      </c>
      <c r="AF241" s="23" t="b">
        <f t="shared" si="77"/>
        <v>0</v>
      </c>
      <c r="AG241" s="23" t="b">
        <f t="shared" si="78"/>
        <v>0</v>
      </c>
      <c r="AH241" s="23" t="b">
        <f t="shared" si="79"/>
        <v>0</v>
      </c>
      <c r="AI241" s="23" t="b">
        <f t="shared" si="80"/>
        <v>0</v>
      </c>
      <c r="AJ241" s="23" t="b">
        <v>1</v>
      </c>
      <c r="AK241" s="23" t="b">
        <f t="shared" si="81"/>
        <v>0</v>
      </c>
      <c r="AL241" s="23" t="b">
        <f t="shared" si="82"/>
        <v>0</v>
      </c>
      <c r="AM241" s="23" t="b">
        <f t="shared" si="83"/>
        <v>0</v>
      </c>
      <c r="AN241" s="23" t="b">
        <f t="shared" si="84"/>
        <v>0</v>
      </c>
      <c r="AO241" s="23" t="b">
        <f t="shared" si="85"/>
        <v>0</v>
      </c>
      <c r="AP241" s="23" t="b">
        <f t="shared" si="86"/>
        <v>0</v>
      </c>
      <c r="AQ241" s="23" t="b">
        <f t="shared" si="87"/>
        <v>0</v>
      </c>
      <c r="AR241" s="23" t="b">
        <f t="shared" si="88"/>
        <v>0</v>
      </c>
      <c r="AS241" s="23" t="b">
        <v>1</v>
      </c>
      <c r="AT241" s="23" t="b">
        <f t="shared" si="89"/>
        <v>0</v>
      </c>
      <c r="AU241" s="23" t="b">
        <f t="shared" si="90"/>
        <v>0</v>
      </c>
      <c r="AV241" s="23" t="b">
        <f t="shared" si="91"/>
        <v>0</v>
      </c>
      <c r="AW241" s="23" t="b">
        <f t="shared" si="92"/>
        <v>0</v>
      </c>
      <c r="AX241" s="23" t="s">
        <v>242</v>
      </c>
      <c r="AY241" s="23" t="b">
        <v>1</v>
      </c>
      <c r="AZ241" s="23" t="s">
        <v>105</v>
      </c>
    </row>
    <row r="242" spans="1:52" x14ac:dyDescent="0.2">
      <c r="A242" s="23">
        <v>290</v>
      </c>
      <c r="B242" s="23" t="s">
        <v>549</v>
      </c>
      <c r="C242" s="25" t="s">
        <v>1294</v>
      </c>
      <c r="D242" s="23" t="b">
        <v>1</v>
      </c>
      <c r="E242" s="25" t="s">
        <v>1290</v>
      </c>
      <c r="H242" s="25" t="s">
        <v>1291</v>
      </c>
      <c r="I242" s="25" t="s">
        <v>1292</v>
      </c>
      <c r="J242" s="23" t="s">
        <v>464</v>
      </c>
      <c r="K242" s="23" t="s">
        <v>1293</v>
      </c>
      <c r="L242" s="23" t="s">
        <v>97</v>
      </c>
      <c r="M242" s="25" t="s">
        <v>131</v>
      </c>
      <c r="Q242" s="23">
        <v>2025</v>
      </c>
      <c r="R242" s="25" t="s">
        <v>242</v>
      </c>
      <c r="T242" s="23" t="s">
        <v>243</v>
      </c>
      <c r="U242" s="23" t="s">
        <v>244</v>
      </c>
      <c r="V242" s="25" t="s">
        <v>223</v>
      </c>
      <c r="W242" s="23" t="s">
        <v>103</v>
      </c>
      <c r="X242" s="25" t="s">
        <v>104</v>
      </c>
      <c r="Y242" s="23" t="b">
        <f t="shared" si="70"/>
        <v>0</v>
      </c>
      <c r="Z242" s="23" t="b">
        <f t="shared" si="71"/>
        <v>0</v>
      </c>
      <c r="AA242" s="23" t="b">
        <f t="shared" si="72"/>
        <v>0</v>
      </c>
      <c r="AB242" s="23" t="b">
        <f t="shared" si="73"/>
        <v>0</v>
      </c>
      <c r="AC242" s="23" t="b">
        <f t="shared" si="74"/>
        <v>0</v>
      </c>
      <c r="AD242" s="23" t="b">
        <f t="shared" si="75"/>
        <v>0</v>
      </c>
      <c r="AE242" s="23" t="b">
        <f t="shared" si="76"/>
        <v>0</v>
      </c>
      <c r="AF242" s="23" t="b">
        <f t="shared" si="77"/>
        <v>0</v>
      </c>
      <c r="AG242" s="23" t="b">
        <f t="shared" si="78"/>
        <v>0</v>
      </c>
      <c r="AH242" s="23" t="b">
        <f t="shared" si="79"/>
        <v>0</v>
      </c>
      <c r="AI242" s="23" t="b">
        <f t="shared" si="80"/>
        <v>1</v>
      </c>
      <c r="AJ242" s="23" t="b">
        <v>0</v>
      </c>
      <c r="AK242" s="23" t="b">
        <f t="shared" si="81"/>
        <v>0</v>
      </c>
      <c r="AL242" s="23" t="b">
        <f t="shared" si="82"/>
        <v>0</v>
      </c>
      <c r="AM242" s="23" t="b">
        <f t="shared" si="83"/>
        <v>0</v>
      </c>
      <c r="AN242" s="23" t="b">
        <f t="shared" si="84"/>
        <v>0</v>
      </c>
      <c r="AO242" s="23" t="b">
        <f t="shared" si="85"/>
        <v>0</v>
      </c>
      <c r="AP242" s="23" t="b">
        <f t="shared" si="86"/>
        <v>1</v>
      </c>
      <c r="AQ242" s="23" t="b">
        <f t="shared" si="87"/>
        <v>0</v>
      </c>
      <c r="AR242" s="23" t="b">
        <f t="shared" si="88"/>
        <v>0</v>
      </c>
      <c r="AS242" s="23" t="b">
        <v>0</v>
      </c>
      <c r="AT242" s="23" t="b">
        <f t="shared" si="89"/>
        <v>0</v>
      </c>
      <c r="AU242" s="23" t="b">
        <f t="shared" si="90"/>
        <v>0</v>
      </c>
      <c r="AV242" s="23" t="b">
        <f t="shared" si="91"/>
        <v>0</v>
      </c>
      <c r="AW242" s="23" t="b">
        <f t="shared" si="92"/>
        <v>0</v>
      </c>
      <c r="AY242" s="23" t="b">
        <v>0</v>
      </c>
      <c r="AZ242" s="25" t="s">
        <v>105</v>
      </c>
    </row>
    <row r="243" spans="1:52" x14ac:dyDescent="0.2">
      <c r="A243" s="23">
        <v>291</v>
      </c>
      <c r="B243" s="23" t="s">
        <v>437</v>
      </c>
      <c r="C243" s="25" t="s">
        <v>1298</v>
      </c>
      <c r="D243" s="23" t="b">
        <v>1</v>
      </c>
      <c r="E243" s="25" t="s">
        <v>1299</v>
      </c>
      <c r="F243" s="25" t="s">
        <v>1300</v>
      </c>
      <c r="G243" s="25" t="s">
        <v>92</v>
      </c>
      <c r="H243" s="25" t="s">
        <v>1304</v>
      </c>
      <c r="I243" s="25" t="s">
        <v>1305</v>
      </c>
      <c r="J243" s="25" t="s">
        <v>1302</v>
      </c>
      <c r="K243" s="26" t="s">
        <v>1301</v>
      </c>
      <c r="L243" s="23" t="s">
        <v>365</v>
      </c>
      <c r="M243" s="23" t="s">
        <v>447</v>
      </c>
      <c r="P243" s="23">
        <v>2010</v>
      </c>
      <c r="Q243" s="23">
        <v>2017</v>
      </c>
      <c r="R243" s="23" t="s">
        <v>132</v>
      </c>
      <c r="S243" s="25" t="s">
        <v>989</v>
      </c>
      <c r="T243" s="25" t="s">
        <v>1306</v>
      </c>
      <c r="U243" s="25" t="s">
        <v>244</v>
      </c>
      <c r="V243" s="25" t="s">
        <v>223</v>
      </c>
      <c r="W243" s="25" t="s">
        <v>103</v>
      </c>
      <c r="X243" s="25" t="s">
        <v>104</v>
      </c>
      <c r="Y243" s="23" t="b">
        <f t="shared" si="70"/>
        <v>0</v>
      </c>
      <c r="Z243" s="23" t="b">
        <f t="shared" si="71"/>
        <v>0</v>
      </c>
      <c r="AA243" s="23" t="b">
        <f t="shared" si="72"/>
        <v>0</v>
      </c>
      <c r="AB243" s="23" t="b">
        <f t="shared" si="73"/>
        <v>0</v>
      </c>
      <c r="AC243" s="23" t="b">
        <f t="shared" si="74"/>
        <v>1</v>
      </c>
      <c r="AD243" s="23" t="b">
        <f t="shared" si="75"/>
        <v>0</v>
      </c>
      <c r="AE243" s="23" t="b">
        <f t="shared" si="76"/>
        <v>0</v>
      </c>
      <c r="AF243" s="23" t="b">
        <f t="shared" si="77"/>
        <v>0</v>
      </c>
      <c r="AG243" s="23" t="b">
        <f t="shared" si="78"/>
        <v>0</v>
      </c>
      <c r="AH243" s="23" t="b">
        <f t="shared" si="79"/>
        <v>0</v>
      </c>
      <c r="AI243" s="23" t="b">
        <f t="shared" si="80"/>
        <v>0</v>
      </c>
      <c r="AJ243" s="23" t="b">
        <v>0</v>
      </c>
      <c r="AK243" s="23" t="b">
        <f t="shared" si="81"/>
        <v>0</v>
      </c>
      <c r="AL243" s="23" t="b">
        <f t="shared" si="82"/>
        <v>0</v>
      </c>
      <c r="AM243" s="23" t="b">
        <f t="shared" si="83"/>
        <v>0</v>
      </c>
      <c r="AN243" s="23" t="b">
        <f t="shared" si="84"/>
        <v>0</v>
      </c>
      <c r="AO243" s="23" t="b">
        <f t="shared" si="85"/>
        <v>0</v>
      </c>
      <c r="AP243" s="23" t="b">
        <f t="shared" si="86"/>
        <v>0</v>
      </c>
      <c r="AQ243" s="23" t="b">
        <f t="shared" si="87"/>
        <v>0</v>
      </c>
      <c r="AR243" s="23" t="b">
        <f t="shared" si="88"/>
        <v>0</v>
      </c>
      <c r="AS243" s="23" t="b">
        <v>0</v>
      </c>
      <c r="AT243" s="23" t="b">
        <f t="shared" si="89"/>
        <v>1</v>
      </c>
      <c r="AU243" s="23" t="b">
        <f t="shared" si="90"/>
        <v>0</v>
      </c>
      <c r="AV243" s="23" t="b">
        <f t="shared" si="91"/>
        <v>0</v>
      </c>
      <c r="AW243" s="23" t="b">
        <f t="shared" si="92"/>
        <v>0</v>
      </c>
      <c r="AX243" s="25" t="s">
        <v>132</v>
      </c>
      <c r="AY243" s="23" t="b">
        <v>0</v>
      </c>
      <c r="AZ243" s="25" t="s">
        <v>105</v>
      </c>
    </row>
  </sheetData>
  <autoFilter ref="A1:AZ243" xr:uid="{C8CBE36A-4CCC-2441-BD25-8BF30629F791}"/>
  <conditionalFormatting sqref="Y2:AW243">
    <cfRule type="cellIs" dxfId="1" priority="2" operator="equal">
      <formula>TRUE</formula>
    </cfRule>
  </conditionalFormatting>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81"/>
  <sheetViews>
    <sheetView workbookViewId="0">
      <pane xSplit="3" topLeftCell="D1" activePane="topRight" state="frozen"/>
      <selection pane="topRight" activeCell="B5" sqref="B5"/>
    </sheetView>
    <sheetView tabSelected="1" workbookViewId="1">
      <selection activeCell="C8" sqref="C8"/>
    </sheetView>
  </sheetViews>
  <sheetFormatPr baseColWidth="10" defaultColWidth="11.1640625" defaultRowHeight="15" customHeight="1" x14ac:dyDescent="0.2"/>
  <cols>
    <col min="1" max="1" width="9.6640625" customWidth="1"/>
    <col min="2" max="2" width="28" customWidth="1"/>
    <col min="3" max="3" width="21.33203125" customWidth="1"/>
    <col min="4" max="4" width="179.1640625" customWidth="1"/>
    <col min="5" max="5" width="80.83203125" customWidth="1"/>
    <col min="6" max="6" width="24.1640625" customWidth="1"/>
    <col min="7" max="7" width="98.83203125" customWidth="1"/>
    <col min="8" max="27" width="10.6640625" customWidth="1"/>
  </cols>
  <sheetData>
    <row r="1" spans="1:27" ht="16.5" customHeight="1" x14ac:dyDescent="0.2">
      <c r="A1" s="4" t="s">
        <v>1182</v>
      </c>
      <c r="B1" s="1" t="s">
        <v>1183</v>
      </c>
      <c r="C1" s="4" t="s">
        <v>1184</v>
      </c>
      <c r="D1" s="1" t="s">
        <v>6</v>
      </c>
      <c r="E1" s="5" t="s">
        <v>1185</v>
      </c>
      <c r="F1" s="5" t="s">
        <v>1186</v>
      </c>
      <c r="G1" s="5" t="s">
        <v>1187</v>
      </c>
      <c r="H1" s="6"/>
      <c r="I1" s="6"/>
      <c r="J1" s="6"/>
      <c r="K1" s="6"/>
      <c r="L1" s="6"/>
      <c r="M1" s="6"/>
      <c r="N1" s="6"/>
      <c r="O1" s="6"/>
      <c r="P1" s="6"/>
      <c r="Q1" s="6"/>
      <c r="R1" s="6"/>
      <c r="S1" s="6"/>
      <c r="T1" s="6"/>
      <c r="U1" s="6"/>
      <c r="V1" s="6"/>
      <c r="W1" s="6"/>
      <c r="X1" s="6"/>
      <c r="Y1" s="6"/>
      <c r="Z1" s="6"/>
      <c r="AA1" s="6"/>
    </row>
    <row r="2" spans="1:27" ht="16.5" customHeight="1" x14ac:dyDescent="0.2">
      <c r="A2" s="7" t="s">
        <v>1188</v>
      </c>
      <c r="B2" s="7" t="s">
        <v>131</v>
      </c>
      <c r="C2" s="8" t="s">
        <v>97</v>
      </c>
      <c r="D2" s="6" t="s">
        <v>1189</v>
      </c>
      <c r="E2" s="6" t="s">
        <v>1190</v>
      </c>
      <c r="F2" s="6" t="s">
        <v>223</v>
      </c>
      <c r="G2" s="6" t="s">
        <v>1191</v>
      </c>
      <c r="H2" s="6"/>
      <c r="I2" s="6"/>
      <c r="J2" s="6"/>
      <c r="K2" s="6"/>
      <c r="L2" s="6"/>
      <c r="M2" s="6"/>
      <c r="N2" s="6"/>
      <c r="O2" s="6"/>
      <c r="P2" s="6"/>
      <c r="Q2" s="6"/>
      <c r="R2" s="6"/>
      <c r="S2" s="6"/>
      <c r="T2" s="6"/>
      <c r="U2" s="6"/>
      <c r="V2" s="6"/>
      <c r="W2" s="6"/>
      <c r="X2" s="6"/>
      <c r="Y2" s="6"/>
      <c r="Z2" s="6"/>
      <c r="AA2" s="6"/>
    </row>
    <row r="3" spans="1:27" ht="16.5" customHeight="1" x14ac:dyDescent="0.2">
      <c r="A3" s="7" t="s">
        <v>1192</v>
      </c>
      <c r="B3" s="7" t="s">
        <v>98</v>
      </c>
      <c r="C3" s="8" t="s">
        <v>97</v>
      </c>
      <c r="D3" s="6" t="s">
        <v>1193</v>
      </c>
      <c r="E3" s="6" t="s">
        <v>1194</v>
      </c>
      <c r="F3" s="6" t="s">
        <v>1195</v>
      </c>
      <c r="G3" s="6" t="s">
        <v>1196</v>
      </c>
      <c r="H3" s="6"/>
      <c r="I3" s="6"/>
      <c r="J3" s="6"/>
      <c r="K3" s="6"/>
      <c r="L3" s="6"/>
      <c r="M3" s="6"/>
      <c r="N3" s="6"/>
      <c r="O3" s="6"/>
      <c r="P3" s="6"/>
      <c r="Q3" s="6"/>
      <c r="R3" s="6"/>
      <c r="S3" s="6"/>
      <c r="T3" s="6"/>
      <c r="U3" s="6"/>
      <c r="V3" s="6"/>
      <c r="W3" s="6"/>
      <c r="X3" s="6"/>
      <c r="Y3" s="6"/>
      <c r="Z3" s="6"/>
      <c r="AA3" s="6"/>
    </row>
    <row r="4" spans="1:27" ht="16.5" customHeight="1" x14ac:dyDescent="0.2">
      <c r="A4" s="9" t="s">
        <v>1197</v>
      </c>
      <c r="B4" s="9" t="s">
        <v>1198</v>
      </c>
      <c r="C4" s="10" t="s">
        <v>286</v>
      </c>
      <c r="D4" s="6" t="s">
        <v>1199</v>
      </c>
      <c r="E4" s="6" t="s">
        <v>1200</v>
      </c>
      <c r="F4" s="6" t="s">
        <v>1201</v>
      </c>
      <c r="G4" s="6" t="s">
        <v>1202</v>
      </c>
      <c r="H4" s="6"/>
      <c r="I4" s="6"/>
      <c r="J4" s="6"/>
      <c r="K4" s="6"/>
      <c r="L4" s="6"/>
      <c r="M4" s="6"/>
      <c r="N4" s="6"/>
      <c r="O4" s="6"/>
      <c r="P4" s="6"/>
      <c r="Q4" s="6"/>
      <c r="R4" s="6"/>
      <c r="S4" s="6"/>
      <c r="T4" s="6"/>
      <c r="U4" s="6"/>
      <c r="V4" s="6"/>
      <c r="W4" s="6"/>
      <c r="X4" s="6"/>
      <c r="Y4" s="6"/>
      <c r="Z4" s="6"/>
      <c r="AA4" s="6"/>
    </row>
    <row r="5" spans="1:27" ht="16.5" customHeight="1" x14ac:dyDescent="0.2">
      <c r="A5" s="9" t="s">
        <v>1203</v>
      </c>
      <c r="B5" s="9" t="s">
        <v>1204</v>
      </c>
      <c r="C5" s="10" t="s">
        <v>286</v>
      </c>
      <c r="D5" s="6" t="s">
        <v>1205</v>
      </c>
      <c r="E5" s="6" t="s">
        <v>1206</v>
      </c>
      <c r="F5" s="6" t="s">
        <v>1201</v>
      </c>
      <c r="G5" s="6" t="s">
        <v>1207</v>
      </c>
      <c r="H5" s="6"/>
      <c r="I5" s="6"/>
      <c r="J5" s="6"/>
      <c r="K5" s="6"/>
      <c r="L5" s="6"/>
      <c r="M5" s="6"/>
      <c r="N5" s="6"/>
      <c r="O5" s="6"/>
      <c r="P5" s="6"/>
      <c r="Q5" s="6"/>
      <c r="R5" s="6"/>
      <c r="S5" s="6"/>
      <c r="T5" s="6"/>
      <c r="U5" s="6"/>
      <c r="V5" s="6"/>
      <c r="W5" s="6"/>
      <c r="X5" s="6"/>
      <c r="Y5" s="6"/>
      <c r="Z5" s="6"/>
      <c r="AA5" s="6"/>
    </row>
    <row r="6" spans="1:27" ht="16.5" customHeight="1" x14ac:dyDescent="0.2">
      <c r="A6" s="9" t="s">
        <v>1208</v>
      </c>
      <c r="B6" s="9" t="s">
        <v>780</v>
      </c>
      <c r="C6" s="10" t="s">
        <v>286</v>
      </c>
      <c r="D6" s="6" t="s">
        <v>1209</v>
      </c>
      <c r="E6" s="6" t="s">
        <v>1210</v>
      </c>
      <c r="F6" s="6" t="s">
        <v>1201</v>
      </c>
      <c r="G6" s="6" t="s">
        <v>1211</v>
      </c>
      <c r="H6" s="6"/>
      <c r="I6" s="6"/>
      <c r="J6" s="6"/>
      <c r="K6" s="6"/>
      <c r="L6" s="6"/>
      <c r="M6" s="6"/>
      <c r="N6" s="6"/>
      <c r="O6" s="6"/>
      <c r="P6" s="6"/>
      <c r="Q6" s="6"/>
      <c r="R6" s="6"/>
      <c r="S6" s="6"/>
      <c r="T6" s="6"/>
      <c r="U6" s="6"/>
      <c r="V6" s="6"/>
      <c r="W6" s="6"/>
      <c r="X6" s="6"/>
      <c r="Y6" s="6"/>
      <c r="Z6" s="6"/>
      <c r="AA6" s="6"/>
    </row>
    <row r="7" spans="1:27" ht="16.5" customHeight="1" x14ac:dyDescent="0.2">
      <c r="A7" s="9" t="s">
        <v>1212</v>
      </c>
      <c r="B7" s="9" t="s">
        <v>287</v>
      </c>
      <c r="C7" s="10" t="s">
        <v>286</v>
      </c>
      <c r="D7" s="6" t="s">
        <v>1213</v>
      </c>
      <c r="E7" s="6" t="s">
        <v>1214</v>
      </c>
      <c r="F7" s="6" t="s">
        <v>223</v>
      </c>
      <c r="G7" s="6" t="s">
        <v>1215</v>
      </c>
      <c r="H7" s="6"/>
      <c r="I7" s="6"/>
      <c r="J7" s="6"/>
      <c r="K7" s="6"/>
      <c r="L7" s="6"/>
      <c r="M7" s="6"/>
      <c r="N7" s="6"/>
      <c r="O7" s="6"/>
      <c r="P7" s="6"/>
      <c r="Q7" s="6"/>
      <c r="R7" s="6"/>
      <c r="S7" s="6"/>
      <c r="T7" s="6"/>
      <c r="U7" s="6"/>
      <c r="V7" s="6"/>
      <c r="W7" s="6"/>
      <c r="X7" s="6"/>
      <c r="Y7" s="6"/>
      <c r="Z7" s="6"/>
      <c r="AA7" s="6"/>
    </row>
    <row r="8" spans="1:27" ht="16.5" customHeight="1" x14ac:dyDescent="0.2">
      <c r="A8" s="11" t="s">
        <v>1216</v>
      </c>
      <c r="B8" s="11" t="s">
        <v>482</v>
      </c>
      <c r="C8" s="12" t="s">
        <v>481</v>
      </c>
      <c r="D8" s="6" t="s">
        <v>1217</v>
      </c>
      <c r="E8" s="6" t="s">
        <v>1218</v>
      </c>
      <c r="F8" s="6" t="s">
        <v>223</v>
      </c>
      <c r="G8" s="6" t="s">
        <v>1219</v>
      </c>
      <c r="H8" s="6"/>
      <c r="I8" s="6"/>
      <c r="J8" s="6"/>
      <c r="K8" s="6"/>
      <c r="L8" s="6"/>
      <c r="M8" s="6"/>
      <c r="N8" s="6"/>
      <c r="O8" s="6"/>
      <c r="P8" s="6"/>
      <c r="Q8" s="6"/>
      <c r="R8" s="6"/>
      <c r="S8" s="6"/>
      <c r="T8" s="6"/>
      <c r="U8" s="6"/>
      <c r="V8" s="6"/>
      <c r="W8" s="6"/>
      <c r="X8" s="6"/>
      <c r="Y8" s="6"/>
      <c r="Z8" s="6"/>
      <c r="AA8" s="6"/>
    </row>
    <row r="9" spans="1:27" ht="16.5" customHeight="1" x14ac:dyDescent="0.2">
      <c r="A9" s="13" t="s">
        <v>1220</v>
      </c>
      <c r="B9" s="13" t="s">
        <v>1221</v>
      </c>
      <c r="C9" s="14" t="s">
        <v>668</v>
      </c>
      <c r="D9" s="6" t="s">
        <v>1222</v>
      </c>
      <c r="E9" s="6" t="s">
        <v>1223</v>
      </c>
      <c r="F9" s="6" t="s">
        <v>1224</v>
      </c>
      <c r="G9" s="6" t="s">
        <v>1225</v>
      </c>
      <c r="H9" s="6"/>
      <c r="I9" s="6"/>
      <c r="J9" s="6"/>
      <c r="K9" s="6"/>
      <c r="L9" s="6"/>
      <c r="M9" s="6"/>
      <c r="N9" s="6"/>
      <c r="O9" s="6"/>
      <c r="P9" s="6"/>
      <c r="Q9" s="6"/>
      <c r="R9" s="6"/>
      <c r="S9" s="6"/>
      <c r="T9" s="6"/>
      <c r="U9" s="6"/>
      <c r="V9" s="6"/>
      <c r="W9" s="6"/>
      <c r="X9" s="6"/>
      <c r="Y9" s="6"/>
      <c r="Z9" s="6"/>
      <c r="AA9" s="6"/>
    </row>
    <row r="10" spans="1:27" ht="16.5" customHeight="1" x14ac:dyDescent="0.2">
      <c r="A10" s="13" t="s">
        <v>1226</v>
      </c>
      <c r="B10" s="13" t="s">
        <v>905</v>
      </c>
      <c r="C10" s="14" t="s">
        <v>668</v>
      </c>
      <c r="D10" s="6" t="s">
        <v>1227</v>
      </c>
      <c r="E10" s="6" t="s">
        <v>1228</v>
      </c>
      <c r="F10" s="6" t="s">
        <v>1224</v>
      </c>
      <c r="G10" s="6" t="s">
        <v>1229</v>
      </c>
      <c r="H10" s="6"/>
      <c r="I10" s="6"/>
      <c r="J10" s="6"/>
      <c r="K10" s="6"/>
      <c r="L10" s="6"/>
      <c r="M10" s="6"/>
      <c r="N10" s="6"/>
      <c r="O10" s="6"/>
      <c r="P10" s="6"/>
      <c r="Q10" s="6"/>
      <c r="R10" s="6"/>
      <c r="S10" s="6"/>
      <c r="T10" s="6"/>
      <c r="U10" s="6"/>
      <c r="V10" s="6"/>
      <c r="W10" s="6"/>
      <c r="X10" s="6"/>
      <c r="Y10" s="6"/>
      <c r="Z10" s="6"/>
      <c r="AA10" s="6"/>
    </row>
    <row r="11" spans="1:27" ht="16.5" customHeight="1" x14ac:dyDescent="0.2">
      <c r="A11" s="13" t="s">
        <v>1230</v>
      </c>
      <c r="B11" s="13" t="s">
        <v>669</v>
      </c>
      <c r="C11" s="14" t="s">
        <v>1231</v>
      </c>
      <c r="D11" s="6" t="s">
        <v>1232</v>
      </c>
      <c r="E11" s="6" t="s">
        <v>1233</v>
      </c>
      <c r="F11" s="6" t="s">
        <v>1201</v>
      </c>
      <c r="G11" s="6" t="s">
        <v>1234</v>
      </c>
      <c r="H11" s="6"/>
      <c r="I11" s="6"/>
      <c r="J11" s="6"/>
      <c r="K11" s="6"/>
      <c r="L11" s="6"/>
      <c r="M11" s="6"/>
      <c r="N11" s="6"/>
      <c r="O11" s="6"/>
      <c r="P11" s="6"/>
      <c r="Q11" s="6"/>
      <c r="R11" s="6"/>
      <c r="S11" s="6"/>
      <c r="T11" s="6"/>
      <c r="U11" s="6"/>
      <c r="V11" s="6"/>
      <c r="W11" s="6"/>
      <c r="X11" s="6"/>
      <c r="Y11" s="6"/>
      <c r="Z11" s="6"/>
      <c r="AA11" s="6"/>
    </row>
    <row r="12" spans="1:27" ht="16.5" customHeight="1" x14ac:dyDescent="0.2">
      <c r="A12" s="15" t="s">
        <v>1235</v>
      </c>
      <c r="B12" s="15" t="s">
        <v>447</v>
      </c>
      <c r="C12" s="16" t="s">
        <v>365</v>
      </c>
      <c r="D12" s="6" t="s">
        <v>1236</v>
      </c>
      <c r="E12" s="6" t="s">
        <v>1237</v>
      </c>
      <c r="F12" s="6" t="s">
        <v>1238</v>
      </c>
      <c r="G12" s="6" t="s">
        <v>1239</v>
      </c>
      <c r="H12" s="6"/>
      <c r="I12" s="6"/>
      <c r="J12" s="6"/>
      <c r="K12" s="6"/>
      <c r="L12" s="6"/>
      <c r="M12" s="6"/>
      <c r="N12" s="6"/>
      <c r="O12" s="6"/>
      <c r="P12" s="6"/>
      <c r="Q12" s="6"/>
      <c r="R12" s="6"/>
      <c r="S12" s="6"/>
      <c r="T12" s="6"/>
      <c r="U12" s="6"/>
      <c r="V12" s="6"/>
      <c r="W12" s="6"/>
      <c r="X12" s="6"/>
      <c r="Y12" s="6"/>
      <c r="Z12" s="6"/>
      <c r="AA12" s="6"/>
    </row>
    <row r="13" spans="1:27" ht="16.5" customHeight="1" x14ac:dyDescent="0.2">
      <c r="A13" s="15" t="s">
        <v>1240</v>
      </c>
      <c r="B13" s="15" t="s">
        <v>532</v>
      </c>
      <c r="C13" s="16" t="s">
        <v>365</v>
      </c>
      <c r="D13" s="6" t="s">
        <v>1241</v>
      </c>
      <c r="E13" s="6" t="s">
        <v>1242</v>
      </c>
      <c r="F13" s="6" t="s">
        <v>1243</v>
      </c>
      <c r="G13" s="6" t="s">
        <v>1244</v>
      </c>
      <c r="H13" s="6"/>
      <c r="I13" s="6"/>
      <c r="J13" s="6"/>
      <c r="K13" s="6"/>
      <c r="L13" s="6"/>
      <c r="M13" s="6"/>
      <c r="N13" s="6"/>
      <c r="O13" s="6"/>
      <c r="P13" s="6"/>
      <c r="Q13" s="6"/>
      <c r="R13" s="6"/>
      <c r="S13" s="6"/>
      <c r="T13" s="6"/>
      <c r="U13" s="6"/>
      <c r="V13" s="6"/>
      <c r="W13" s="6"/>
      <c r="X13" s="6"/>
      <c r="Y13" s="6"/>
      <c r="Z13" s="6"/>
      <c r="AA13" s="6"/>
    </row>
    <row r="14" spans="1:27" ht="16.5" customHeight="1" x14ac:dyDescent="0.2">
      <c r="A14" s="17" t="s">
        <v>1245</v>
      </c>
      <c r="B14" s="17" t="s">
        <v>501</v>
      </c>
      <c r="C14" s="18" t="s">
        <v>500</v>
      </c>
      <c r="D14" s="6" t="s">
        <v>1246</v>
      </c>
      <c r="E14" s="6" t="s">
        <v>1247</v>
      </c>
      <c r="F14" s="6" t="s">
        <v>1238</v>
      </c>
      <c r="G14" s="6" t="s">
        <v>1248</v>
      </c>
      <c r="H14" s="6"/>
      <c r="I14" s="6"/>
      <c r="J14" s="6"/>
      <c r="K14" s="6"/>
      <c r="L14" s="6"/>
      <c r="M14" s="6"/>
      <c r="N14" s="6"/>
      <c r="O14" s="6"/>
      <c r="P14" s="6"/>
      <c r="Q14" s="6"/>
      <c r="R14" s="6"/>
      <c r="S14" s="6"/>
      <c r="T14" s="6"/>
      <c r="U14" s="6"/>
      <c r="V14" s="6"/>
      <c r="W14" s="6"/>
      <c r="X14" s="6"/>
      <c r="Y14" s="6"/>
      <c r="Z14" s="6"/>
      <c r="AA14" s="6"/>
    </row>
    <row r="15" spans="1:27" ht="16.5" customHeight="1" x14ac:dyDescent="0.2">
      <c r="A15" s="19" t="s">
        <v>1249</v>
      </c>
      <c r="B15" s="19" t="s">
        <v>443</v>
      </c>
      <c r="C15" s="20" t="s">
        <v>404</v>
      </c>
      <c r="D15" s="6" t="s">
        <v>1250</v>
      </c>
      <c r="E15" s="6" t="s">
        <v>1251</v>
      </c>
      <c r="F15" s="6" t="s">
        <v>1238</v>
      </c>
      <c r="G15" s="6" t="s">
        <v>1252</v>
      </c>
      <c r="H15" s="6"/>
      <c r="I15" s="6"/>
      <c r="J15" s="6"/>
      <c r="K15" s="6"/>
      <c r="L15" s="6"/>
      <c r="M15" s="6"/>
      <c r="N15" s="6"/>
      <c r="O15" s="6"/>
      <c r="P15" s="6"/>
      <c r="Q15" s="6"/>
      <c r="R15" s="6"/>
      <c r="S15" s="6"/>
      <c r="T15" s="6"/>
      <c r="U15" s="6"/>
      <c r="V15" s="6"/>
      <c r="W15" s="6"/>
      <c r="X15" s="6"/>
      <c r="Y15" s="6"/>
      <c r="Z15" s="6"/>
      <c r="AA15" s="6"/>
    </row>
    <row r="16" spans="1:27" ht="16.5" customHeight="1" x14ac:dyDescent="0.2">
      <c r="A16" s="19" t="s">
        <v>1253</v>
      </c>
      <c r="B16" s="19" t="s">
        <v>576</v>
      </c>
      <c r="C16" s="20" t="s">
        <v>404</v>
      </c>
      <c r="D16" s="6" t="s">
        <v>1254</v>
      </c>
      <c r="E16" s="6" t="s">
        <v>1255</v>
      </c>
      <c r="F16" s="6" t="s">
        <v>1238</v>
      </c>
      <c r="G16" s="6" t="s">
        <v>1256</v>
      </c>
      <c r="H16" s="6"/>
      <c r="I16" s="6"/>
      <c r="J16" s="6"/>
      <c r="K16" s="6"/>
      <c r="L16" s="6"/>
      <c r="M16" s="6"/>
      <c r="N16" s="6"/>
      <c r="O16" s="6"/>
      <c r="P16" s="6"/>
      <c r="Q16" s="6"/>
      <c r="R16" s="6"/>
      <c r="S16" s="6"/>
      <c r="T16" s="6"/>
      <c r="U16" s="6"/>
      <c r="V16" s="6"/>
      <c r="W16" s="6"/>
      <c r="X16" s="6"/>
      <c r="Y16" s="6"/>
      <c r="Z16" s="6"/>
      <c r="AA16" s="6"/>
    </row>
    <row r="17" spans="1:27" ht="16.5" customHeight="1" x14ac:dyDescent="0.2">
      <c r="A17" s="19" t="s">
        <v>1257</v>
      </c>
      <c r="B17" s="19" t="s">
        <v>405</v>
      </c>
      <c r="C17" s="20" t="s">
        <v>404</v>
      </c>
      <c r="D17" s="6" t="s">
        <v>1258</v>
      </c>
      <c r="E17" s="6" t="s">
        <v>1259</v>
      </c>
      <c r="F17" s="6" t="s">
        <v>1238</v>
      </c>
      <c r="G17" s="6" t="s">
        <v>1256</v>
      </c>
      <c r="H17" s="6"/>
      <c r="I17" s="6"/>
      <c r="J17" s="6"/>
      <c r="K17" s="6"/>
      <c r="L17" s="6"/>
      <c r="M17" s="6"/>
      <c r="N17" s="6"/>
      <c r="O17" s="6"/>
      <c r="P17" s="6"/>
      <c r="Q17" s="6"/>
      <c r="R17" s="6"/>
      <c r="S17" s="6"/>
      <c r="T17" s="6"/>
      <c r="U17" s="6"/>
      <c r="V17" s="6"/>
      <c r="W17" s="6"/>
      <c r="X17" s="6"/>
      <c r="Y17" s="6"/>
      <c r="Z17" s="6"/>
      <c r="AA17" s="6"/>
    </row>
    <row r="18" spans="1:27" ht="16.5" customHeight="1" x14ac:dyDescent="0.2">
      <c r="A18" s="3"/>
      <c r="B18" s="3"/>
      <c r="C18" s="6"/>
      <c r="D18" s="6"/>
      <c r="E18" s="6"/>
      <c r="F18" s="6"/>
      <c r="G18" s="6"/>
      <c r="H18" s="6"/>
      <c r="I18" s="6"/>
      <c r="J18" s="6"/>
      <c r="K18" s="6"/>
      <c r="L18" s="6"/>
      <c r="M18" s="6"/>
      <c r="N18" s="6"/>
      <c r="O18" s="6"/>
      <c r="P18" s="6"/>
      <c r="Q18" s="6"/>
      <c r="R18" s="6"/>
      <c r="S18" s="6"/>
      <c r="T18" s="6"/>
      <c r="U18" s="6"/>
      <c r="V18" s="6"/>
      <c r="W18" s="6"/>
      <c r="X18" s="6"/>
      <c r="Y18" s="6"/>
      <c r="Z18" s="6"/>
      <c r="AA18" s="6"/>
    </row>
    <row r="19" spans="1:27" ht="16.5" customHeight="1" x14ac:dyDescent="0.2">
      <c r="A19" s="3"/>
      <c r="B19" s="3"/>
      <c r="C19" s="6"/>
      <c r="D19" s="6"/>
      <c r="E19" s="6"/>
      <c r="F19" s="6"/>
      <c r="G19" s="6"/>
      <c r="H19" s="6"/>
      <c r="I19" s="6"/>
      <c r="J19" s="6"/>
      <c r="K19" s="6"/>
      <c r="L19" s="6"/>
      <c r="M19" s="6"/>
      <c r="N19" s="6"/>
      <c r="O19" s="6"/>
      <c r="P19" s="6"/>
      <c r="Q19" s="6"/>
      <c r="R19" s="6"/>
      <c r="S19" s="6"/>
      <c r="T19" s="6"/>
      <c r="U19" s="6"/>
      <c r="V19" s="6"/>
      <c r="W19" s="6"/>
      <c r="X19" s="6"/>
      <c r="Y19" s="6"/>
      <c r="Z19" s="6"/>
      <c r="AA19" s="6"/>
    </row>
    <row r="20" spans="1:27" ht="16.5" customHeight="1" x14ac:dyDescent="0.2">
      <c r="A20" s="3"/>
      <c r="B20" s="3"/>
      <c r="C20" s="6"/>
      <c r="D20" s="6"/>
      <c r="E20" s="6"/>
      <c r="F20" s="6"/>
      <c r="G20" s="6"/>
      <c r="H20" s="6"/>
      <c r="I20" s="6"/>
      <c r="J20" s="6"/>
      <c r="K20" s="6"/>
      <c r="L20" s="6"/>
      <c r="M20" s="6"/>
      <c r="N20" s="6"/>
      <c r="O20" s="6"/>
      <c r="P20" s="6"/>
      <c r="Q20" s="6"/>
      <c r="R20" s="6"/>
      <c r="S20" s="6"/>
      <c r="T20" s="6"/>
      <c r="U20" s="6"/>
      <c r="V20" s="6"/>
      <c r="W20" s="6"/>
      <c r="X20" s="6"/>
      <c r="Y20" s="6"/>
      <c r="Z20" s="6"/>
      <c r="AA20" s="6"/>
    </row>
    <row r="21" spans="1:27" ht="16.5" customHeight="1" x14ac:dyDescent="0.2">
      <c r="A21" s="3"/>
      <c r="B21" s="3"/>
      <c r="C21" s="6"/>
      <c r="D21" s="6"/>
      <c r="E21" s="6"/>
      <c r="F21" s="6"/>
      <c r="G21" s="6"/>
      <c r="H21" s="6"/>
      <c r="I21" s="6"/>
      <c r="J21" s="6"/>
      <c r="K21" s="6"/>
      <c r="L21" s="6"/>
      <c r="M21" s="6"/>
      <c r="N21" s="6"/>
      <c r="O21" s="6"/>
      <c r="P21" s="6"/>
      <c r="Q21" s="6"/>
      <c r="R21" s="6"/>
      <c r="S21" s="6"/>
      <c r="T21" s="6"/>
      <c r="U21" s="6"/>
      <c r="V21" s="6"/>
      <c r="W21" s="6"/>
      <c r="X21" s="6"/>
      <c r="Y21" s="6"/>
      <c r="Z21" s="6"/>
      <c r="AA21" s="6"/>
    </row>
    <row r="22" spans="1:27" ht="16.5" customHeight="1" x14ac:dyDescent="0.2">
      <c r="A22" s="3"/>
      <c r="B22" s="3"/>
      <c r="C22" s="6"/>
      <c r="D22" s="6"/>
      <c r="E22" s="6"/>
      <c r="F22" s="6"/>
      <c r="G22" s="6"/>
      <c r="H22" s="6"/>
      <c r="I22" s="6"/>
      <c r="J22" s="6"/>
      <c r="K22" s="6"/>
      <c r="L22" s="6"/>
      <c r="M22" s="6"/>
      <c r="N22" s="6"/>
      <c r="O22" s="6"/>
      <c r="P22" s="6"/>
      <c r="Q22" s="6"/>
      <c r="R22" s="6"/>
      <c r="S22" s="6"/>
      <c r="T22" s="6"/>
      <c r="U22" s="6"/>
      <c r="V22" s="6"/>
      <c r="W22" s="6"/>
      <c r="X22" s="6"/>
      <c r="Y22" s="6"/>
      <c r="Z22" s="6"/>
      <c r="AA22" s="6"/>
    </row>
    <row r="23" spans="1:27" ht="16.5" customHeight="1" x14ac:dyDescent="0.2">
      <c r="A23" s="3"/>
      <c r="B23" s="3"/>
      <c r="C23" s="6"/>
      <c r="D23" s="6"/>
      <c r="E23" s="6"/>
      <c r="F23" s="6"/>
      <c r="G23" s="6"/>
      <c r="H23" s="6"/>
      <c r="I23" s="6"/>
      <c r="J23" s="6"/>
      <c r="K23" s="6"/>
      <c r="L23" s="6"/>
      <c r="M23" s="6"/>
      <c r="N23" s="6"/>
      <c r="O23" s="6"/>
      <c r="P23" s="6"/>
      <c r="Q23" s="6"/>
      <c r="R23" s="6"/>
      <c r="S23" s="6"/>
      <c r="T23" s="6"/>
      <c r="U23" s="6"/>
      <c r="V23" s="6"/>
      <c r="W23" s="6"/>
      <c r="X23" s="6"/>
      <c r="Y23" s="6"/>
      <c r="Z23" s="6"/>
      <c r="AA23" s="6"/>
    </row>
    <row r="24" spans="1:27" ht="16.5" customHeight="1" x14ac:dyDescent="0.2">
      <c r="A24" s="3"/>
      <c r="B24" s="3"/>
      <c r="C24" s="6"/>
      <c r="D24" s="6"/>
      <c r="E24" s="6"/>
      <c r="F24" s="6"/>
      <c r="G24" s="6"/>
      <c r="H24" s="6"/>
      <c r="I24" s="6"/>
      <c r="J24" s="6"/>
      <c r="K24" s="6"/>
      <c r="L24" s="6"/>
      <c r="M24" s="6"/>
      <c r="N24" s="6"/>
      <c r="O24" s="6"/>
      <c r="P24" s="6"/>
      <c r="Q24" s="6"/>
      <c r="R24" s="6"/>
      <c r="S24" s="6"/>
      <c r="T24" s="6"/>
      <c r="U24" s="6"/>
      <c r="V24" s="6"/>
      <c r="W24" s="6"/>
      <c r="X24" s="6"/>
      <c r="Y24" s="6"/>
      <c r="Z24" s="6"/>
      <c r="AA24" s="6"/>
    </row>
    <row r="25" spans="1:27" ht="16.5" customHeight="1" x14ac:dyDescent="0.2">
      <c r="A25" s="3"/>
      <c r="B25" s="3"/>
      <c r="C25" s="6"/>
      <c r="D25" s="6"/>
      <c r="E25" s="6"/>
      <c r="F25" s="6"/>
      <c r="G25" s="6"/>
      <c r="H25" s="6"/>
      <c r="I25" s="6"/>
      <c r="J25" s="6"/>
      <c r="K25" s="6"/>
      <c r="L25" s="6"/>
      <c r="M25" s="6"/>
      <c r="N25" s="6"/>
      <c r="O25" s="6"/>
      <c r="P25" s="6"/>
      <c r="Q25" s="6"/>
      <c r="R25" s="6"/>
      <c r="S25" s="6"/>
      <c r="T25" s="6"/>
      <c r="U25" s="6"/>
      <c r="V25" s="6"/>
      <c r="W25" s="6"/>
      <c r="X25" s="6"/>
      <c r="Y25" s="6"/>
      <c r="Z25" s="6"/>
      <c r="AA25" s="6"/>
    </row>
    <row r="26" spans="1:27" ht="16.5" customHeight="1" x14ac:dyDescent="0.2">
      <c r="A26" s="3"/>
      <c r="B26" s="3"/>
      <c r="C26" s="6"/>
      <c r="D26" s="6"/>
      <c r="E26" s="6"/>
      <c r="F26" s="6"/>
      <c r="G26" s="6"/>
      <c r="H26" s="6"/>
      <c r="I26" s="6"/>
      <c r="J26" s="6"/>
      <c r="K26" s="6"/>
      <c r="L26" s="6"/>
      <c r="M26" s="6"/>
      <c r="N26" s="6"/>
      <c r="O26" s="6"/>
      <c r="P26" s="6"/>
      <c r="Q26" s="6"/>
      <c r="R26" s="6"/>
      <c r="S26" s="6"/>
      <c r="T26" s="6"/>
      <c r="U26" s="6"/>
      <c r="V26" s="6"/>
      <c r="W26" s="6"/>
      <c r="X26" s="6"/>
      <c r="Y26" s="6"/>
      <c r="Z26" s="6"/>
      <c r="AA26" s="6"/>
    </row>
    <row r="27" spans="1:27" ht="16.5" customHeight="1" x14ac:dyDescent="0.2">
      <c r="A27" s="3"/>
      <c r="B27" s="3"/>
      <c r="C27" s="6"/>
      <c r="D27" s="6"/>
      <c r="E27" s="6"/>
      <c r="F27" s="6"/>
      <c r="G27" s="6"/>
      <c r="H27" s="6"/>
      <c r="I27" s="6"/>
      <c r="J27" s="6"/>
      <c r="K27" s="6"/>
      <c r="L27" s="6"/>
      <c r="M27" s="6"/>
      <c r="N27" s="6"/>
      <c r="O27" s="6"/>
      <c r="P27" s="6"/>
      <c r="Q27" s="6"/>
      <c r="R27" s="6"/>
      <c r="S27" s="6"/>
      <c r="T27" s="6"/>
      <c r="U27" s="6"/>
      <c r="V27" s="6"/>
      <c r="W27" s="6"/>
      <c r="X27" s="6"/>
      <c r="Y27" s="6"/>
      <c r="Z27" s="6"/>
      <c r="AA27" s="6"/>
    </row>
    <row r="28" spans="1:27" ht="16.5" customHeight="1" x14ac:dyDescent="0.2">
      <c r="A28" s="3"/>
      <c r="B28" s="3"/>
      <c r="C28" s="6"/>
      <c r="D28" s="6"/>
      <c r="E28" s="6"/>
      <c r="F28" s="6"/>
      <c r="G28" s="6"/>
      <c r="H28" s="6"/>
      <c r="I28" s="6"/>
      <c r="J28" s="6"/>
      <c r="K28" s="6"/>
      <c r="L28" s="6"/>
      <c r="M28" s="6"/>
      <c r="N28" s="6"/>
      <c r="O28" s="6"/>
      <c r="P28" s="6"/>
      <c r="Q28" s="6"/>
      <c r="R28" s="6"/>
      <c r="S28" s="6"/>
      <c r="T28" s="6"/>
      <c r="U28" s="6"/>
      <c r="V28" s="6"/>
      <c r="W28" s="6"/>
      <c r="X28" s="6"/>
      <c r="Y28" s="6"/>
      <c r="Z28" s="6"/>
      <c r="AA28" s="6"/>
    </row>
    <row r="29" spans="1:27" ht="16.5" customHeight="1" x14ac:dyDescent="0.2">
      <c r="A29" s="3"/>
      <c r="B29" s="3"/>
      <c r="C29" s="6"/>
      <c r="D29" s="6"/>
      <c r="E29" s="6"/>
      <c r="F29" s="6"/>
      <c r="G29" s="6"/>
      <c r="H29" s="6"/>
      <c r="I29" s="6"/>
      <c r="J29" s="6"/>
      <c r="K29" s="6"/>
      <c r="L29" s="6"/>
      <c r="M29" s="6"/>
      <c r="N29" s="6"/>
      <c r="O29" s="6"/>
      <c r="P29" s="6"/>
      <c r="Q29" s="6"/>
      <c r="R29" s="6"/>
      <c r="S29" s="6"/>
      <c r="T29" s="6"/>
      <c r="U29" s="6"/>
      <c r="V29" s="6"/>
      <c r="W29" s="6"/>
      <c r="X29" s="6"/>
      <c r="Y29" s="6"/>
      <c r="Z29" s="6"/>
      <c r="AA29" s="6"/>
    </row>
    <row r="30" spans="1:27" ht="16.5" customHeight="1" x14ac:dyDescent="0.2">
      <c r="A30" s="3"/>
      <c r="B30" s="3"/>
      <c r="C30" s="6"/>
      <c r="D30" s="6"/>
      <c r="E30" s="6"/>
      <c r="F30" s="6"/>
      <c r="G30" s="6"/>
      <c r="H30" s="6"/>
      <c r="I30" s="6"/>
      <c r="J30" s="6"/>
      <c r="K30" s="6"/>
      <c r="L30" s="6"/>
      <c r="M30" s="6"/>
      <c r="N30" s="6"/>
      <c r="O30" s="6"/>
      <c r="P30" s="6"/>
      <c r="Q30" s="6"/>
      <c r="R30" s="6"/>
      <c r="S30" s="6"/>
      <c r="T30" s="6"/>
      <c r="U30" s="6"/>
      <c r="V30" s="6"/>
      <c r="W30" s="6"/>
      <c r="X30" s="6"/>
      <c r="Y30" s="6"/>
      <c r="Z30" s="6"/>
      <c r="AA30" s="6"/>
    </row>
    <row r="31" spans="1:27" ht="16.5" customHeight="1" x14ac:dyDescent="0.2">
      <c r="A31" s="3"/>
      <c r="B31" s="3"/>
      <c r="C31" s="6"/>
      <c r="D31" s="6"/>
      <c r="E31" s="6"/>
      <c r="F31" s="6"/>
      <c r="G31" s="6"/>
      <c r="H31" s="6"/>
      <c r="I31" s="6"/>
      <c r="J31" s="6"/>
      <c r="K31" s="6"/>
      <c r="L31" s="6"/>
      <c r="M31" s="6"/>
      <c r="N31" s="6"/>
      <c r="O31" s="6"/>
      <c r="P31" s="6"/>
      <c r="Q31" s="6"/>
      <c r="R31" s="6"/>
      <c r="S31" s="6"/>
      <c r="T31" s="6"/>
      <c r="U31" s="6"/>
      <c r="V31" s="6"/>
      <c r="W31" s="6"/>
      <c r="X31" s="6"/>
      <c r="Y31" s="6"/>
      <c r="Z31" s="6"/>
      <c r="AA31" s="6"/>
    </row>
    <row r="32" spans="1:27" ht="16.5" customHeight="1" x14ac:dyDescent="0.2">
      <c r="A32" s="3"/>
      <c r="B32" s="3"/>
      <c r="C32" s="6"/>
      <c r="D32" s="6"/>
      <c r="E32" s="6"/>
      <c r="F32" s="6"/>
      <c r="G32" s="6"/>
      <c r="H32" s="6"/>
      <c r="I32" s="6"/>
      <c r="J32" s="6"/>
      <c r="K32" s="6"/>
      <c r="L32" s="6"/>
      <c r="M32" s="6"/>
      <c r="N32" s="6"/>
      <c r="O32" s="6"/>
      <c r="P32" s="6"/>
      <c r="Q32" s="6"/>
      <c r="R32" s="6"/>
      <c r="S32" s="6"/>
      <c r="T32" s="6"/>
      <c r="U32" s="6"/>
      <c r="V32" s="6"/>
      <c r="W32" s="6"/>
      <c r="X32" s="6"/>
      <c r="Y32" s="6"/>
      <c r="Z32" s="6"/>
      <c r="AA32" s="6"/>
    </row>
    <row r="33" spans="1:27" ht="16.5" customHeight="1" x14ac:dyDescent="0.2">
      <c r="A33" s="3"/>
      <c r="B33" s="6"/>
      <c r="C33" s="6"/>
      <c r="E33" s="6"/>
      <c r="F33" s="6"/>
      <c r="G33" s="6"/>
      <c r="H33" s="6"/>
      <c r="I33" s="6"/>
      <c r="J33" s="6"/>
      <c r="K33" s="6"/>
      <c r="L33" s="6"/>
      <c r="M33" s="6"/>
      <c r="N33" s="6"/>
      <c r="O33" s="6"/>
      <c r="P33" s="6"/>
      <c r="Q33" s="6"/>
      <c r="R33" s="6"/>
      <c r="S33" s="6"/>
      <c r="T33" s="6"/>
      <c r="U33" s="6"/>
      <c r="V33" s="6"/>
      <c r="W33" s="6"/>
      <c r="X33" s="6"/>
      <c r="Y33" s="6"/>
      <c r="Z33" s="6"/>
      <c r="AA33" s="6"/>
    </row>
    <row r="34" spans="1:27" ht="16.5" customHeight="1" x14ac:dyDescent="0.2">
      <c r="A34" s="3"/>
      <c r="B34" s="6"/>
      <c r="C34" s="6"/>
      <c r="E34" s="6"/>
      <c r="F34" s="6"/>
      <c r="G34" s="6"/>
      <c r="H34" s="6"/>
      <c r="I34" s="6"/>
      <c r="J34" s="6"/>
      <c r="K34" s="6"/>
      <c r="L34" s="6"/>
      <c r="M34" s="6"/>
      <c r="N34" s="6"/>
      <c r="O34" s="6"/>
      <c r="P34" s="6"/>
      <c r="Q34" s="6"/>
      <c r="R34" s="6"/>
      <c r="S34" s="6"/>
      <c r="T34" s="6"/>
      <c r="U34" s="6"/>
      <c r="V34" s="6"/>
      <c r="W34" s="6"/>
      <c r="X34" s="6"/>
      <c r="Y34" s="6"/>
      <c r="Z34" s="6"/>
      <c r="AA34" s="6"/>
    </row>
    <row r="35" spans="1:27" ht="16.5" customHeight="1" x14ac:dyDescent="0.2">
      <c r="A35" s="3"/>
      <c r="B35" s="6"/>
      <c r="C35" s="6"/>
      <c r="E35" s="6"/>
      <c r="F35" s="6"/>
      <c r="G35" s="6"/>
      <c r="H35" s="6"/>
      <c r="I35" s="6"/>
      <c r="J35" s="6"/>
      <c r="K35" s="6"/>
      <c r="L35" s="6"/>
      <c r="M35" s="6"/>
      <c r="N35" s="6"/>
      <c r="O35" s="6"/>
      <c r="P35" s="6"/>
      <c r="Q35" s="6"/>
      <c r="R35" s="6"/>
      <c r="S35" s="6"/>
      <c r="T35" s="6"/>
      <c r="U35" s="6"/>
      <c r="V35" s="6"/>
      <c r="W35" s="6"/>
      <c r="X35" s="6"/>
      <c r="Y35" s="6"/>
      <c r="Z35" s="6"/>
      <c r="AA35" s="6"/>
    </row>
    <row r="36" spans="1:27" ht="16.5" customHeight="1" x14ac:dyDescent="0.2">
      <c r="A36" s="3"/>
      <c r="B36" s="6"/>
      <c r="C36" s="6"/>
      <c r="E36" s="6"/>
      <c r="F36" s="6"/>
      <c r="G36" s="6"/>
      <c r="H36" s="6"/>
      <c r="I36" s="6"/>
      <c r="J36" s="6"/>
      <c r="K36" s="6"/>
      <c r="L36" s="6"/>
      <c r="M36" s="6"/>
      <c r="N36" s="6"/>
      <c r="O36" s="6"/>
      <c r="P36" s="6"/>
      <c r="Q36" s="6"/>
      <c r="R36" s="6"/>
      <c r="S36" s="6"/>
      <c r="T36" s="6"/>
      <c r="U36" s="6"/>
      <c r="V36" s="6"/>
      <c r="W36" s="6"/>
      <c r="X36" s="6"/>
      <c r="Y36" s="6"/>
      <c r="Z36" s="6"/>
      <c r="AA36" s="6"/>
    </row>
    <row r="37" spans="1:27" ht="16.5" customHeight="1" x14ac:dyDescent="0.2">
      <c r="A37" s="3"/>
      <c r="B37" s="6"/>
      <c r="C37" s="6"/>
      <c r="E37" s="6"/>
      <c r="F37" s="6"/>
      <c r="G37" s="6"/>
      <c r="H37" s="6"/>
      <c r="I37" s="6"/>
      <c r="J37" s="6"/>
      <c r="K37" s="6"/>
      <c r="L37" s="6"/>
      <c r="M37" s="6"/>
      <c r="N37" s="6"/>
      <c r="O37" s="6"/>
      <c r="P37" s="6"/>
      <c r="Q37" s="6"/>
      <c r="R37" s="6"/>
      <c r="S37" s="6"/>
      <c r="T37" s="6"/>
      <c r="U37" s="6"/>
      <c r="V37" s="6"/>
      <c r="W37" s="6"/>
      <c r="X37" s="6"/>
      <c r="Y37" s="6"/>
      <c r="Z37" s="6"/>
      <c r="AA37" s="6"/>
    </row>
    <row r="38" spans="1:27" ht="16.5" customHeight="1" x14ac:dyDescent="0.2">
      <c r="A38" s="3"/>
      <c r="B38" s="6"/>
      <c r="C38" s="6"/>
      <c r="E38" s="6"/>
      <c r="F38" s="6"/>
      <c r="G38" s="6"/>
      <c r="H38" s="6"/>
      <c r="I38" s="6"/>
      <c r="J38" s="6"/>
      <c r="K38" s="6"/>
      <c r="L38" s="6"/>
      <c r="M38" s="6"/>
      <c r="N38" s="6"/>
      <c r="O38" s="6"/>
      <c r="P38" s="6"/>
      <c r="Q38" s="6"/>
      <c r="R38" s="6"/>
      <c r="S38" s="6"/>
      <c r="T38" s="6"/>
      <c r="U38" s="6"/>
      <c r="V38" s="6"/>
      <c r="W38" s="6"/>
      <c r="X38" s="6"/>
      <c r="Y38" s="6"/>
      <c r="Z38" s="6"/>
      <c r="AA38" s="6"/>
    </row>
    <row r="39" spans="1:27" ht="16.5" customHeight="1" x14ac:dyDescent="0.2">
      <c r="A39" s="3"/>
      <c r="B39" s="6"/>
      <c r="C39" s="6"/>
      <c r="E39" s="6"/>
      <c r="F39" s="6"/>
      <c r="G39" s="6"/>
      <c r="H39" s="6"/>
      <c r="I39" s="6"/>
      <c r="J39" s="6"/>
      <c r="K39" s="6"/>
      <c r="L39" s="6"/>
      <c r="M39" s="6"/>
      <c r="N39" s="6"/>
      <c r="O39" s="6"/>
      <c r="P39" s="6"/>
      <c r="Q39" s="6"/>
      <c r="R39" s="6"/>
      <c r="S39" s="6"/>
      <c r="T39" s="6"/>
      <c r="U39" s="6"/>
      <c r="V39" s="6"/>
      <c r="W39" s="6"/>
      <c r="X39" s="6"/>
      <c r="Y39" s="6"/>
      <c r="Z39" s="6"/>
      <c r="AA39" s="6"/>
    </row>
    <row r="40" spans="1:27" ht="16.5" customHeight="1" x14ac:dyDescent="0.2">
      <c r="A40" s="3"/>
      <c r="B40" s="6"/>
      <c r="C40" s="6"/>
      <c r="E40" s="6"/>
      <c r="F40" s="6"/>
      <c r="G40" s="6"/>
      <c r="H40" s="6"/>
      <c r="I40" s="6"/>
      <c r="J40" s="6"/>
      <c r="K40" s="6"/>
      <c r="L40" s="6"/>
      <c r="M40" s="6"/>
      <c r="N40" s="6"/>
      <c r="O40" s="6"/>
      <c r="P40" s="6"/>
      <c r="Q40" s="6"/>
      <c r="R40" s="6"/>
      <c r="S40" s="6"/>
      <c r="T40" s="6"/>
      <c r="U40" s="6"/>
      <c r="V40" s="6"/>
      <c r="W40" s="6"/>
      <c r="X40" s="6"/>
      <c r="Y40" s="6"/>
      <c r="Z40" s="6"/>
      <c r="AA40" s="6"/>
    </row>
    <row r="41" spans="1:27" ht="16.5" customHeight="1" x14ac:dyDescent="0.2">
      <c r="A41" s="3"/>
      <c r="B41" s="6"/>
      <c r="C41" s="6"/>
      <c r="E41" s="6"/>
      <c r="F41" s="6"/>
      <c r="G41" s="6"/>
      <c r="H41" s="6"/>
      <c r="I41" s="6"/>
      <c r="J41" s="6"/>
      <c r="K41" s="6"/>
      <c r="L41" s="6"/>
      <c r="M41" s="6"/>
      <c r="N41" s="6"/>
      <c r="O41" s="6"/>
      <c r="P41" s="6"/>
      <c r="Q41" s="6"/>
      <c r="R41" s="6"/>
      <c r="S41" s="6"/>
      <c r="T41" s="6"/>
      <c r="U41" s="6"/>
      <c r="V41" s="6"/>
      <c r="W41" s="6"/>
      <c r="X41" s="6"/>
      <c r="Y41" s="6"/>
      <c r="Z41" s="6"/>
      <c r="AA41" s="6"/>
    </row>
    <row r="42" spans="1:27" ht="16.5" customHeight="1" x14ac:dyDescent="0.2">
      <c r="A42" s="3"/>
      <c r="B42" s="6"/>
      <c r="C42" s="6"/>
      <c r="E42" s="6"/>
      <c r="F42" s="6"/>
      <c r="G42" s="6"/>
      <c r="H42" s="6"/>
      <c r="I42" s="6"/>
      <c r="J42" s="6"/>
      <c r="K42" s="6"/>
      <c r="L42" s="6"/>
      <c r="M42" s="6"/>
      <c r="N42" s="6"/>
      <c r="O42" s="6"/>
      <c r="P42" s="6"/>
      <c r="Q42" s="6"/>
      <c r="R42" s="6"/>
      <c r="S42" s="6"/>
      <c r="T42" s="6"/>
      <c r="U42" s="6"/>
      <c r="V42" s="6"/>
      <c r="W42" s="6"/>
      <c r="X42" s="6"/>
      <c r="Y42" s="6"/>
      <c r="Z42" s="6"/>
      <c r="AA42" s="6"/>
    </row>
    <row r="43" spans="1:27" ht="16.5" customHeight="1" x14ac:dyDescent="0.2">
      <c r="A43" s="3"/>
      <c r="B43" s="6"/>
      <c r="C43" s="6"/>
      <c r="E43" s="6"/>
      <c r="F43" s="6"/>
      <c r="G43" s="6"/>
      <c r="H43" s="6"/>
      <c r="I43" s="6"/>
      <c r="J43" s="6"/>
      <c r="K43" s="6"/>
      <c r="L43" s="6"/>
      <c r="M43" s="6"/>
      <c r="N43" s="6"/>
      <c r="O43" s="6"/>
      <c r="P43" s="6"/>
      <c r="Q43" s="6"/>
      <c r="R43" s="6"/>
      <c r="S43" s="6"/>
      <c r="T43" s="6"/>
      <c r="U43" s="6"/>
      <c r="V43" s="6"/>
      <c r="W43" s="6"/>
      <c r="X43" s="6"/>
      <c r="Y43" s="6"/>
      <c r="Z43" s="6"/>
      <c r="AA43" s="6"/>
    </row>
    <row r="44" spans="1:27" ht="16.5" customHeight="1" x14ac:dyDescent="0.2">
      <c r="A44" s="3"/>
      <c r="B44" s="6"/>
      <c r="C44" s="6"/>
      <c r="E44" s="6"/>
      <c r="F44" s="6"/>
      <c r="G44" s="6"/>
      <c r="H44" s="6"/>
      <c r="I44" s="6"/>
      <c r="J44" s="6"/>
      <c r="K44" s="6"/>
      <c r="L44" s="6"/>
      <c r="M44" s="6"/>
      <c r="N44" s="6"/>
      <c r="O44" s="6"/>
      <c r="P44" s="6"/>
      <c r="Q44" s="6"/>
      <c r="R44" s="6"/>
      <c r="S44" s="6"/>
      <c r="T44" s="6"/>
      <c r="U44" s="6"/>
      <c r="V44" s="6"/>
      <c r="W44" s="6"/>
      <c r="X44" s="6"/>
      <c r="Y44" s="6"/>
      <c r="Z44" s="6"/>
      <c r="AA44" s="6"/>
    </row>
    <row r="45" spans="1:27" ht="16.5" customHeight="1" x14ac:dyDescent="0.2">
      <c r="A45" s="3"/>
      <c r="B45" s="6"/>
      <c r="C45" s="6"/>
      <c r="E45" s="6"/>
      <c r="F45" s="6"/>
      <c r="G45" s="6"/>
      <c r="H45" s="6"/>
      <c r="I45" s="6"/>
      <c r="J45" s="6"/>
      <c r="K45" s="6"/>
      <c r="L45" s="6"/>
      <c r="M45" s="6"/>
      <c r="N45" s="6"/>
      <c r="O45" s="6"/>
      <c r="P45" s="6"/>
      <c r="Q45" s="6"/>
      <c r="R45" s="6"/>
      <c r="S45" s="6"/>
      <c r="T45" s="6"/>
      <c r="U45" s="6"/>
      <c r="V45" s="6"/>
      <c r="W45" s="6"/>
      <c r="X45" s="6"/>
      <c r="Y45" s="6"/>
      <c r="Z45" s="6"/>
      <c r="AA45" s="6"/>
    </row>
    <row r="46" spans="1:27" ht="16.5" customHeight="1" x14ac:dyDescent="0.2">
      <c r="A46" s="3"/>
      <c r="B46" s="6"/>
      <c r="C46" s="6"/>
      <c r="E46" s="6"/>
      <c r="F46" s="6"/>
      <c r="G46" s="6"/>
      <c r="H46" s="6"/>
      <c r="I46" s="6"/>
      <c r="J46" s="6"/>
      <c r="K46" s="6"/>
      <c r="L46" s="6"/>
      <c r="M46" s="6"/>
      <c r="N46" s="6"/>
      <c r="O46" s="6"/>
      <c r="P46" s="6"/>
      <c r="Q46" s="6"/>
      <c r="R46" s="6"/>
      <c r="S46" s="6"/>
      <c r="T46" s="6"/>
      <c r="U46" s="6"/>
      <c r="V46" s="6"/>
      <c r="W46" s="6"/>
      <c r="X46" s="6"/>
      <c r="Y46" s="6"/>
      <c r="Z46" s="6"/>
      <c r="AA46" s="6"/>
    </row>
    <row r="47" spans="1:27" ht="16.5" customHeight="1" x14ac:dyDescent="0.2">
      <c r="A47" s="3"/>
      <c r="B47" s="6"/>
      <c r="C47" s="6"/>
      <c r="E47" s="6"/>
      <c r="F47" s="6"/>
      <c r="G47" s="6"/>
      <c r="H47" s="6"/>
      <c r="I47" s="6"/>
      <c r="J47" s="6"/>
      <c r="K47" s="6"/>
      <c r="L47" s="6"/>
      <c r="M47" s="6"/>
      <c r="N47" s="6"/>
      <c r="O47" s="6"/>
      <c r="P47" s="6"/>
      <c r="Q47" s="6"/>
      <c r="R47" s="6"/>
      <c r="S47" s="6"/>
      <c r="T47" s="6"/>
      <c r="U47" s="6"/>
      <c r="V47" s="6"/>
      <c r="W47" s="6"/>
      <c r="X47" s="6"/>
      <c r="Y47" s="6"/>
      <c r="Z47" s="6"/>
      <c r="AA47" s="6"/>
    </row>
    <row r="48" spans="1:27" ht="16.5" customHeight="1" x14ac:dyDescent="0.2">
      <c r="A48" s="3"/>
      <c r="B48" s="6"/>
      <c r="C48" s="6"/>
      <c r="E48" s="6"/>
      <c r="F48" s="6"/>
      <c r="G48" s="6"/>
      <c r="H48" s="6"/>
      <c r="I48" s="6"/>
      <c r="J48" s="6"/>
      <c r="K48" s="6"/>
      <c r="L48" s="6"/>
      <c r="M48" s="6"/>
      <c r="N48" s="6"/>
      <c r="O48" s="6"/>
      <c r="P48" s="6"/>
      <c r="Q48" s="6"/>
      <c r="R48" s="6"/>
      <c r="S48" s="6"/>
      <c r="T48" s="6"/>
      <c r="U48" s="6"/>
      <c r="V48" s="6"/>
      <c r="W48" s="6"/>
      <c r="X48" s="6"/>
      <c r="Y48" s="6"/>
      <c r="Z48" s="6"/>
      <c r="AA48" s="6"/>
    </row>
    <row r="49" spans="1:27" ht="16.5" customHeight="1" x14ac:dyDescent="0.2">
      <c r="A49" s="3"/>
      <c r="B49" s="6"/>
      <c r="C49" s="6"/>
      <c r="E49" s="6"/>
      <c r="F49" s="6"/>
      <c r="G49" s="6"/>
      <c r="H49" s="6"/>
      <c r="I49" s="6"/>
      <c r="J49" s="6"/>
      <c r="K49" s="6"/>
      <c r="L49" s="6"/>
      <c r="M49" s="6"/>
      <c r="N49" s="6"/>
      <c r="O49" s="6"/>
      <c r="P49" s="6"/>
      <c r="Q49" s="6"/>
      <c r="R49" s="6"/>
      <c r="S49" s="6"/>
      <c r="T49" s="6"/>
      <c r="U49" s="6"/>
      <c r="V49" s="6"/>
      <c r="W49" s="6"/>
      <c r="X49" s="6"/>
      <c r="Y49" s="6"/>
      <c r="Z49" s="6"/>
      <c r="AA49" s="6"/>
    </row>
    <row r="50" spans="1:27" ht="16.5" customHeight="1" x14ac:dyDescent="0.2">
      <c r="A50" s="3"/>
      <c r="B50" s="6"/>
      <c r="C50" s="6"/>
      <c r="E50" s="6"/>
      <c r="F50" s="6"/>
      <c r="G50" s="6"/>
      <c r="H50" s="6"/>
      <c r="I50" s="6"/>
      <c r="J50" s="6"/>
      <c r="K50" s="6"/>
      <c r="L50" s="6"/>
      <c r="M50" s="6"/>
      <c r="N50" s="6"/>
      <c r="O50" s="6"/>
      <c r="P50" s="6"/>
      <c r="Q50" s="6"/>
      <c r="R50" s="6"/>
      <c r="S50" s="6"/>
      <c r="T50" s="6"/>
      <c r="U50" s="6"/>
      <c r="V50" s="6"/>
      <c r="W50" s="6"/>
      <c r="X50" s="6"/>
      <c r="Y50" s="6"/>
      <c r="Z50" s="6"/>
      <c r="AA50" s="6"/>
    </row>
    <row r="51" spans="1:27" ht="16.5" customHeight="1" x14ac:dyDescent="0.2">
      <c r="A51" s="3"/>
      <c r="B51" s="6"/>
      <c r="C51" s="6"/>
      <c r="E51" s="6"/>
      <c r="F51" s="6"/>
      <c r="G51" s="6"/>
      <c r="H51" s="6"/>
      <c r="I51" s="6"/>
      <c r="J51" s="6"/>
      <c r="K51" s="6"/>
      <c r="L51" s="6"/>
      <c r="M51" s="6"/>
      <c r="N51" s="6"/>
      <c r="O51" s="6"/>
      <c r="P51" s="6"/>
      <c r="Q51" s="6"/>
      <c r="R51" s="6"/>
      <c r="S51" s="6"/>
      <c r="T51" s="6"/>
      <c r="U51" s="6"/>
      <c r="V51" s="6"/>
      <c r="W51" s="6"/>
      <c r="X51" s="6"/>
      <c r="Y51" s="6"/>
      <c r="Z51" s="6"/>
      <c r="AA51" s="6"/>
    </row>
    <row r="52" spans="1:27" ht="16.5" customHeight="1" x14ac:dyDescent="0.2">
      <c r="A52" s="3"/>
      <c r="B52" s="3"/>
      <c r="C52" s="6"/>
      <c r="D52" s="6"/>
      <c r="E52" s="6"/>
      <c r="F52" s="6"/>
      <c r="G52" s="6"/>
      <c r="H52" s="6"/>
      <c r="I52" s="6"/>
      <c r="J52" s="6"/>
      <c r="K52" s="6"/>
      <c r="L52" s="6"/>
      <c r="M52" s="6"/>
      <c r="N52" s="6"/>
      <c r="O52" s="6"/>
      <c r="P52" s="6"/>
      <c r="Q52" s="6"/>
      <c r="R52" s="6"/>
      <c r="S52" s="6"/>
      <c r="T52" s="6"/>
      <c r="U52" s="6"/>
      <c r="V52" s="6"/>
      <c r="W52" s="6"/>
      <c r="X52" s="6"/>
      <c r="Y52" s="6"/>
      <c r="Z52" s="6"/>
      <c r="AA52" s="6"/>
    </row>
    <row r="53" spans="1:27" ht="16.5" customHeight="1" x14ac:dyDescent="0.2">
      <c r="A53" s="3"/>
      <c r="B53" s="3"/>
      <c r="C53" s="6"/>
      <c r="D53" s="6"/>
      <c r="E53" s="6"/>
      <c r="F53" s="6"/>
      <c r="G53" s="6"/>
      <c r="H53" s="6"/>
      <c r="I53" s="6"/>
      <c r="J53" s="6"/>
      <c r="K53" s="6"/>
      <c r="L53" s="6"/>
      <c r="M53" s="6"/>
      <c r="N53" s="6"/>
      <c r="O53" s="6"/>
      <c r="P53" s="6"/>
      <c r="Q53" s="6"/>
      <c r="R53" s="6"/>
      <c r="S53" s="6"/>
      <c r="T53" s="6"/>
      <c r="U53" s="6"/>
      <c r="V53" s="6"/>
      <c r="W53" s="6"/>
      <c r="X53" s="6"/>
      <c r="Y53" s="6"/>
      <c r="Z53" s="6"/>
      <c r="AA53" s="6"/>
    </row>
    <row r="54" spans="1:27" ht="16.5" customHeight="1" x14ac:dyDescent="0.2">
      <c r="A54" s="3"/>
      <c r="B54" s="3"/>
      <c r="C54" s="6"/>
      <c r="D54" s="6"/>
      <c r="E54" s="6"/>
      <c r="F54" s="6"/>
      <c r="G54" s="6"/>
      <c r="H54" s="6"/>
      <c r="I54" s="6"/>
      <c r="J54" s="6"/>
      <c r="K54" s="6"/>
      <c r="L54" s="6"/>
      <c r="M54" s="6"/>
      <c r="N54" s="6"/>
      <c r="O54" s="6"/>
      <c r="P54" s="6"/>
      <c r="Q54" s="6"/>
      <c r="R54" s="6"/>
      <c r="S54" s="6"/>
      <c r="T54" s="6"/>
      <c r="U54" s="6"/>
      <c r="V54" s="6"/>
      <c r="W54" s="6"/>
      <c r="X54" s="6"/>
      <c r="Y54" s="6"/>
      <c r="Z54" s="6"/>
      <c r="AA54" s="6"/>
    </row>
    <row r="55" spans="1:27" ht="16.5" customHeight="1" x14ac:dyDescent="0.2">
      <c r="A55" s="3"/>
      <c r="B55" s="3"/>
      <c r="C55" s="6"/>
      <c r="D55" s="6"/>
      <c r="E55" s="6"/>
      <c r="F55" s="6"/>
      <c r="G55" s="6"/>
      <c r="H55" s="6"/>
      <c r="I55" s="6"/>
      <c r="J55" s="6"/>
      <c r="K55" s="6"/>
      <c r="L55" s="6"/>
      <c r="M55" s="6"/>
      <c r="N55" s="6"/>
      <c r="O55" s="6"/>
      <c r="P55" s="6"/>
      <c r="Q55" s="6"/>
      <c r="R55" s="6"/>
      <c r="S55" s="6"/>
      <c r="T55" s="6"/>
      <c r="U55" s="6"/>
      <c r="V55" s="6"/>
      <c r="W55" s="6"/>
      <c r="X55" s="6"/>
      <c r="Y55" s="6"/>
      <c r="Z55" s="6"/>
      <c r="AA55" s="6"/>
    </row>
    <row r="56" spans="1:27" ht="16.5" customHeight="1" x14ac:dyDescent="0.2">
      <c r="A56" s="3"/>
      <c r="B56" s="3"/>
      <c r="C56" s="6"/>
      <c r="D56" s="6"/>
      <c r="E56" s="6"/>
      <c r="F56" s="6"/>
      <c r="G56" s="6"/>
      <c r="H56" s="6"/>
      <c r="I56" s="6"/>
      <c r="J56" s="6"/>
      <c r="K56" s="6"/>
      <c r="L56" s="6"/>
      <c r="M56" s="6"/>
      <c r="N56" s="6"/>
      <c r="O56" s="6"/>
      <c r="P56" s="6"/>
      <c r="Q56" s="6"/>
      <c r="R56" s="6"/>
      <c r="S56" s="6"/>
      <c r="T56" s="6"/>
      <c r="U56" s="6"/>
      <c r="V56" s="6"/>
      <c r="W56" s="6"/>
      <c r="X56" s="6"/>
      <c r="Y56" s="6"/>
      <c r="Z56" s="6"/>
      <c r="AA56" s="6"/>
    </row>
    <row r="57" spans="1:27" ht="16.5" customHeight="1" x14ac:dyDescent="0.2">
      <c r="A57" s="3"/>
      <c r="B57" s="3"/>
      <c r="C57" s="6"/>
      <c r="D57" s="6"/>
      <c r="E57" s="6"/>
      <c r="F57" s="6"/>
      <c r="G57" s="6"/>
      <c r="H57" s="6"/>
      <c r="I57" s="6"/>
      <c r="J57" s="6"/>
      <c r="K57" s="6"/>
      <c r="L57" s="6"/>
      <c r="M57" s="6"/>
      <c r="N57" s="6"/>
      <c r="O57" s="6"/>
      <c r="P57" s="6"/>
      <c r="Q57" s="6"/>
      <c r="R57" s="6"/>
      <c r="S57" s="6"/>
      <c r="T57" s="6"/>
      <c r="U57" s="6"/>
      <c r="V57" s="6"/>
      <c r="W57" s="6"/>
      <c r="X57" s="6"/>
      <c r="Y57" s="6"/>
      <c r="Z57" s="6"/>
      <c r="AA57" s="6"/>
    </row>
    <row r="58" spans="1:27" ht="16.5" customHeight="1" x14ac:dyDescent="0.2">
      <c r="A58" s="3"/>
      <c r="B58" s="3"/>
      <c r="C58" s="6"/>
      <c r="D58" s="6"/>
      <c r="E58" s="6"/>
      <c r="F58" s="6"/>
      <c r="G58" s="6"/>
      <c r="H58" s="6"/>
      <c r="I58" s="6"/>
      <c r="J58" s="6"/>
      <c r="K58" s="6"/>
      <c r="L58" s="6"/>
      <c r="M58" s="6"/>
      <c r="N58" s="6"/>
      <c r="O58" s="6"/>
      <c r="P58" s="6"/>
      <c r="Q58" s="6"/>
      <c r="R58" s="6"/>
      <c r="S58" s="6"/>
      <c r="T58" s="6"/>
      <c r="U58" s="6"/>
      <c r="V58" s="6"/>
      <c r="W58" s="6"/>
      <c r="X58" s="6"/>
      <c r="Y58" s="6"/>
      <c r="Z58" s="6"/>
      <c r="AA58" s="6"/>
    </row>
    <row r="59" spans="1:27" ht="16.5" customHeight="1" x14ac:dyDescent="0.2">
      <c r="A59" s="3"/>
      <c r="B59" s="3"/>
      <c r="C59" s="6"/>
      <c r="D59" s="6"/>
      <c r="E59" s="6"/>
      <c r="F59" s="6"/>
      <c r="G59" s="6"/>
      <c r="H59" s="6"/>
      <c r="I59" s="6"/>
      <c r="J59" s="6"/>
      <c r="K59" s="6"/>
      <c r="L59" s="6"/>
      <c r="M59" s="6"/>
      <c r="N59" s="6"/>
      <c r="O59" s="6"/>
      <c r="P59" s="6"/>
      <c r="Q59" s="6"/>
      <c r="R59" s="6"/>
      <c r="S59" s="6"/>
      <c r="T59" s="6"/>
      <c r="U59" s="6"/>
      <c r="V59" s="6"/>
      <c r="W59" s="6"/>
      <c r="X59" s="6"/>
      <c r="Y59" s="6"/>
      <c r="Z59" s="6"/>
      <c r="AA59" s="6"/>
    </row>
    <row r="60" spans="1:27" ht="16.5" customHeight="1" x14ac:dyDescent="0.2">
      <c r="A60" s="3"/>
      <c r="B60" s="3"/>
      <c r="C60" s="6"/>
      <c r="D60" s="6"/>
      <c r="E60" s="6"/>
      <c r="F60" s="6"/>
      <c r="G60" s="6"/>
      <c r="H60" s="6"/>
      <c r="I60" s="6"/>
      <c r="J60" s="6"/>
      <c r="K60" s="6"/>
      <c r="L60" s="6"/>
      <c r="M60" s="6"/>
      <c r="N60" s="6"/>
      <c r="O60" s="6"/>
      <c r="P60" s="6"/>
      <c r="Q60" s="6"/>
      <c r="R60" s="6"/>
      <c r="S60" s="6"/>
      <c r="T60" s="6"/>
      <c r="U60" s="6"/>
      <c r="V60" s="6"/>
      <c r="W60" s="6"/>
      <c r="X60" s="6"/>
      <c r="Y60" s="6"/>
      <c r="Z60" s="6"/>
      <c r="AA60" s="6"/>
    </row>
    <row r="61" spans="1:27" ht="16.5" customHeight="1" x14ac:dyDescent="0.2">
      <c r="A61" s="3"/>
      <c r="B61" s="3"/>
      <c r="C61" s="6"/>
      <c r="D61" s="6"/>
      <c r="E61" s="6"/>
      <c r="F61" s="6"/>
      <c r="G61" s="6"/>
      <c r="H61" s="6"/>
      <c r="I61" s="6"/>
      <c r="J61" s="6"/>
      <c r="K61" s="6"/>
      <c r="L61" s="6"/>
      <c r="M61" s="6"/>
      <c r="N61" s="6"/>
      <c r="O61" s="6"/>
      <c r="P61" s="6"/>
      <c r="Q61" s="6"/>
      <c r="R61" s="6"/>
      <c r="S61" s="6"/>
      <c r="T61" s="6"/>
      <c r="U61" s="6"/>
      <c r="V61" s="6"/>
      <c r="W61" s="6"/>
      <c r="X61" s="6"/>
      <c r="Y61" s="6"/>
      <c r="Z61" s="6"/>
      <c r="AA61" s="6"/>
    </row>
    <row r="62" spans="1:27" ht="16.5" customHeight="1" x14ac:dyDescent="0.2">
      <c r="A62" s="3"/>
      <c r="B62" s="3"/>
      <c r="C62" s="6"/>
      <c r="D62" s="6"/>
      <c r="E62" s="6"/>
      <c r="F62" s="6"/>
      <c r="G62" s="6"/>
      <c r="H62" s="6"/>
      <c r="I62" s="6"/>
      <c r="J62" s="6"/>
      <c r="K62" s="6"/>
      <c r="L62" s="6"/>
      <c r="M62" s="6"/>
      <c r="N62" s="6"/>
      <c r="O62" s="6"/>
      <c r="P62" s="6"/>
      <c r="Q62" s="6"/>
      <c r="R62" s="6"/>
      <c r="S62" s="6"/>
      <c r="T62" s="6"/>
      <c r="U62" s="6"/>
      <c r="V62" s="6"/>
      <c r="W62" s="6"/>
      <c r="X62" s="6"/>
      <c r="Y62" s="6"/>
      <c r="Z62" s="6"/>
      <c r="AA62" s="6"/>
    </row>
    <row r="63" spans="1:27" ht="16.5" customHeight="1" x14ac:dyDescent="0.2">
      <c r="A63" s="3"/>
      <c r="B63" s="3"/>
      <c r="C63" s="6"/>
      <c r="D63" s="6"/>
      <c r="E63" s="6"/>
      <c r="F63" s="6"/>
      <c r="G63" s="6"/>
      <c r="H63" s="6"/>
      <c r="I63" s="6"/>
      <c r="J63" s="6"/>
      <c r="K63" s="6"/>
      <c r="L63" s="6"/>
      <c r="M63" s="6"/>
      <c r="N63" s="6"/>
      <c r="O63" s="6"/>
      <c r="P63" s="6"/>
      <c r="Q63" s="6"/>
      <c r="R63" s="6"/>
      <c r="S63" s="6"/>
      <c r="T63" s="6"/>
      <c r="U63" s="6"/>
      <c r="V63" s="6"/>
      <c r="W63" s="6"/>
      <c r="X63" s="6"/>
      <c r="Y63" s="6"/>
      <c r="Z63" s="6"/>
      <c r="AA63" s="6"/>
    </row>
    <row r="64" spans="1:27" ht="16.5" customHeight="1" x14ac:dyDescent="0.2">
      <c r="A64" s="3"/>
      <c r="B64" s="3"/>
      <c r="C64" s="6"/>
      <c r="D64" s="6"/>
      <c r="E64" s="6"/>
      <c r="F64" s="6"/>
      <c r="G64" s="6"/>
      <c r="H64" s="6"/>
      <c r="I64" s="6"/>
      <c r="J64" s="6"/>
      <c r="K64" s="6"/>
      <c r="L64" s="6"/>
      <c r="M64" s="6"/>
      <c r="N64" s="6"/>
      <c r="O64" s="6"/>
      <c r="P64" s="6"/>
      <c r="Q64" s="6"/>
      <c r="R64" s="6"/>
      <c r="S64" s="6"/>
      <c r="T64" s="6"/>
      <c r="U64" s="6"/>
      <c r="V64" s="6"/>
      <c r="W64" s="6"/>
      <c r="X64" s="6"/>
      <c r="Y64" s="6"/>
      <c r="Z64" s="6"/>
      <c r="AA64" s="6"/>
    </row>
    <row r="65" spans="1:27" ht="16.5" customHeight="1" x14ac:dyDescent="0.2">
      <c r="A65" s="3"/>
      <c r="B65" s="3"/>
      <c r="C65" s="6"/>
      <c r="D65" s="6"/>
      <c r="E65" s="6"/>
      <c r="F65" s="6"/>
      <c r="G65" s="6"/>
      <c r="H65" s="6"/>
      <c r="I65" s="6"/>
      <c r="J65" s="6"/>
      <c r="K65" s="6"/>
      <c r="L65" s="6"/>
      <c r="M65" s="6"/>
      <c r="N65" s="6"/>
      <c r="O65" s="6"/>
      <c r="P65" s="6"/>
      <c r="Q65" s="6"/>
      <c r="R65" s="6"/>
      <c r="S65" s="6"/>
      <c r="T65" s="6"/>
      <c r="U65" s="6"/>
      <c r="V65" s="6"/>
      <c r="W65" s="6"/>
      <c r="X65" s="6"/>
      <c r="Y65" s="6"/>
      <c r="Z65" s="6"/>
      <c r="AA65" s="6"/>
    </row>
    <row r="66" spans="1:27" ht="16.5" customHeight="1" x14ac:dyDescent="0.2">
      <c r="A66" s="3"/>
      <c r="B66" s="3"/>
      <c r="C66" s="6"/>
      <c r="D66" s="6"/>
      <c r="E66" s="6"/>
      <c r="F66" s="6"/>
      <c r="G66" s="6"/>
      <c r="H66" s="6"/>
      <c r="I66" s="6"/>
      <c r="J66" s="6"/>
      <c r="K66" s="6"/>
      <c r="L66" s="6"/>
      <c r="M66" s="6"/>
      <c r="N66" s="6"/>
      <c r="O66" s="6"/>
      <c r="P66" s="6"/>
      <c r="Q66" s="6"/>
      <c r="R66" s="6"/>
      <c r="S66" s="6"/>
      <c r="T66" s="6"/>
      <c r="U66" s="6"/>
      <c r="V66" s="6"/>
      <c r="W66" s="6"/>
      <c r="X66" s="6"/>
      <c r="Y66" s="6"/>
      <c r="Z66" s="6"/>
      <c r="AA66" s="6"/>
    </row>
    <row r="67" spans="1:27" ht="16.5" customHeight="1" x14ac:dyDescent="0.2">
      <c r="A67" s="3"/>
      <c r="B67" s="3"/>
      <c r="C67" s="6"/>
      <c r="D67" s="6"/>
      <c r="E67" s="6"/>
      <c r="F67" s="6"/>
      <c r="G67" s="6"/>
      <c r="H67" s="6"/>
      <c r="I67" s="6"/>
      <c r="J67" s="6"/>
      <c r="K67" s="6"/>
      <c r="L67" s="6"/>
      <c r="M67" s="6"/>
      <c r="N67" s="6"/>
      <c r="O67" s="6"/>
      <c r="P67" s="6"/>
      <c r="Q67" s="6"/>
      <c r="R67" s="6"/>
      <c r="S67" s="6"/>
      <c r="T67" s="6"/>
      <c r="U67" s="6"/>
      <c r="V67" s="6"/>
      <c r="W67" s="6"/>
      <c r="X67" s="6"/>
      <c r="Y67" s="6"/>
      <c r="Z67" s="6"/>
      <c r="AA67" s="6"/>
    </row>
    <row r="68" spans="1:27" ht="16.5" customHeight="1" x14ac:dyDescent="0.2">
      <c r="A68" s="3"/>
      <c r="B68" s="3"/>
      <c r="C68" s="6"/>
      <c r="D68" s="6"/>
      <c r="E68" s="6"/>
      <c r="F68" s="6"/>
      <c r="G68" s="6"/>
      <c r="H68" s="6"/>
      <c r="I68" s="6"/>
      <c r="J68" s="6"/>
      <c r="K68" s="6"/>
      <c r="L68" s="6"/>
      <c r="M68" s="6"/>
      <c r="N68" s="6"/>
      <c r="O68" s="6"/>
      <c r="P68" s="6"/>
      <c r="Q68" s="6"/>
      <c r="R68" s="6"/>
      <c r="S68" s="6"/>
      <c r="T68" s="6"/>
      <c r="U68" s="6"/>
      <c r="V68" s="6"/>
      <c r="W68" s="6"/>
      <c r="X68" s="6"/>
      <c r="Y68" s="6"/>
      <c r="Z68" s="6"/>
      <c r="AA68" s="6"/>
    </row>
    <row r="69" spans="1:27" ht="16.5" customHeight="1" x14ac:dyDescent="0.2">
      <c r="A69" s="3"/>
      <c r="B69" s="3"/>
      <c r="C69" s="6"/>
      <c r="D69" s="6"/>
      <c r="E69" s="6"/>
      <c r="F69" s="6"/>
      <c r="G69" s="6"/>
      <c r="H69" s="6"/>
      <c r="I69" s="6"/>
      <c r="J69" s="6"/>
      <c r="K69" s="6"/>
      <c r="L69" s="6"/>
      <c r="M69" s="6"/>
      <c r="N69" s="6"/>
      <c r="O69" s="6"/>
      <c r="P69" s="6"/>
      <c r="Q69" s="6"/>
      <c r="R69" s="6"/>
      <c r="S69" s="6"/>
      <c r="T69" s="6"/>
      <c r="U69" s="6"/>
      <c r="V69" s="6"/>
      <c r="W69" s="6"/>
      <c r="X69" s="6"/>
      <c r="Y69" s="6"/>
      <c r="Z69" s="6"/>
      <c r="AA69" s="6"/>
    </row>
    <row r="70" spans="1:27" ht="16.5" customHeight="1" x14ac:dyDescent="0.2">
      <c r="A70" s="3"/>
      <c r="B70" s="3"/>
      <c r="C70" s="6"/>
      <c r="D70" s="6"/>
      <c r="E70" s="6"/>
      <c r="F70" s="6"/>
      <c r="G70" s="6"/>
      <c r="H70" s="6"/>
      <c r="I70" s="6"/>
      <c r="J70" s="6"/>
      <c r="K70" s="6"/>
      <c r="L70" s="6"/>
      <c r="M70" s="6"/>
      <c r="N70" s="6"/>
      <c r="O70" s="6"/>
      <c r="P70" s="6"/>
      <c r="Q70" s="6"/>
      <c r="R70" s="6"/>
      <c r="S70" s="6"/>
      <c r="T70" s="6"/>
      <c r="U70" s="6"/>
      <c r="V70" s="6"/>
      <c r="W70" s="6"/>
      <c r="X70" s="6"/>
      <c r="Y70" s="6"/>
      <c r="Z70" s="6"/>
      <c r="AA70" s="6"/>
    </row>
    <row r="71" spans="1:27" ht="16.5" customHeight="1" x14ac:dyDescent="0.2">
      <c r="A71" s="3"/>
      <c r="B71" s="3"/>
      <c r="C71" s="6"/>
      <c r="D71" s="6"/>
      <c r="E71" s="6"/>
      <c r="F71" s="6"/>
      <c r="G71" s="6"/>
      <c r="H71" s="6"/>
      <c r="I71" s="6"/>
      <c r="J71" s="6"/>
      <c r="K71" s="6"/>
      <c r="L71" s="6"/>
      <c r="M71" s="6"/>
      <c r="N71" s="6"/>
      <c r="O71" s="6"/>
      <c r="P71" s="6"/>
      <c r="Q71" s="6"/>
      <c r="R71" s="6"/>
      <c r="S71" s="6"/>
      <c r="T71" s="6"/>
      <c r="U71" s="6"/>
      <c r="V71" s="6"/>
      <c r="W71" s="6"/>
      <c r="X71" s="6"/>
      <c r="Y71" s="6"/>
      <c r="Z71" s="6"/>
      <c r="AA71" s="6"/>
    </row>
    <row r="72" spans="1:27" ht="16.5" customHeight="1" x14ac:dyDescent="0.2">
      <c r="A72" s="3"/>
      <c r="B72" s="3"/>
      <c r="C72" s="6"/>
      <c r="D72" s="6"/>
      <c r="E72" s="6"/>
      <c r="F72" s="6"/>
      <c r="G72" s="6"/>
      <c r="H72" s="6"/>
      <c r="I72" s="6"/>
      <c r="J72" s="6"/>
      <c r="K72" s="6"/>
      <c r="L72" s="6"/>
      <c r="M72" s="6"/>
      <c r="N72" s="6"/>
      <c r="O72" s="6"/>
      <c r="P72" s="6"/>
      <c r="Q72" s="6"/>
      <c r="R72" s="6"/>
      <c r="S72" s="6"/>
      <c r="T72" s="6"/>
      <c r="U72" s="6"/>
      <c r="V72" s="6"/>
      <c r="W72" s="6"/>
      <c r="X72" s="6"/>
      <c r="Y72" s="6"/>
      <c r="Z72" s="6"/>
      <c r="AA72" s="6"/>
    </row>
    <row r="73" spans="1:27" ht="16.5" customHeight="1" x14ac:dyDescent="0.2">
      <c r="A73" s="3"/>
      <c r="B73" s="3"/>
      <c r="C73" s="6"/>
      <c r="D73" s="6"/>
      <c r="E73" s="6"/>
      <c r="F73" s="6"/>
      <c r="G73" s="6"/>
      <c r="H73" s="6"/>
      <c r="I73" s="6"/>
      <c r="J73" s="6"/>
      <c r="K73" s="6"/>
      <c r="L73" s="6"/>
      <c r="M73" s="6"/>
      <c r="N73" s="6"/>
      <c r="O73" s="6"/>
      <c r="P73" s="6"/>
      <c r="Q73" s="6"/>
      <c r="R73" s="6"/>
      <c r="S73" s="6"/>
      <c r="T73" s="6"/>
      <c r="U73" s="6"/>
      <c r="V73" s="6"/>
      <c r="W73" s="6"/>
      <c r="X73" s="6"/>
      <c r="Y73" s="6"/>
      <c r="Z73" s="6"/>
      <c r="AA73" s="6"/>
    </row>
    <row r="74" spans="1:27" ht="16.5" customHeight="1" x14ac:dyDescent="0.2">
      <c r="A74" s="3"/>
      <c r="B74" s="3"/>
      <c r="C74" s="6"/>
      <c r="D74" s="6"/>
      <c r="E74" s="6"/>
      <c r="F74" s="6"/>
      <c r="G74" s="6"/>
      <c r="H74" s="6"/>
      <c r="I74" s="6"/>
      <c r="J74" s="6"/>
      <c r="K74" s="6"/>
      <c r="L74" s="6"/>
      <c r="M74" s="6"/>
      <c r="N74" s="6"/>
      <c r="O74" s="6"/>
      <c r="P74" s="6"/>
      <c r="Q74" s="6"/>
      <c r="R74" s="6"/>
      <c r="S74" s="6"/>
      <c r="T74" s="6"/>
      <c r="U74" s="6"/>
      <c r="V74" s="6"/>
      <c r="W74" s="6"/>
      <c r="X74" s="6"/>
      <c r="Y74" s="6"/>
      <c r="Z74" s="6"/>
      <c r="AA74" s="6"/>
    </row>
    <row r="75" spans="1:27" ht="16.5" customHeight="1" x14ac:dyDescent="0.2">
      <c r="A75" s="3"/>
      <c r="B75" s="3"/>
      <c r="C75" s="6"/>
      <c r="D75" s="6"/>
      <c r="E75" s="6"/>
      <c r="F75" s="6"/>
      <c r="G75" s="6"/>
      <c r="H75" s="6"/>
      <c r="I75" s="6"/>
      <c r="J75" s="6"/>
      <c r="K75" s="6"/>
      <c r="L75" s="6"/>
      <c r="M75" s="6"/>
      <c r="N75" s="6"/>
      <c r="O75" s="6"/>
      <c r="P75" s="6"/>
      <c r="Q75" s="6"/>
      <c r="R75" s="6"/>
      <c r="S75" s="6"/>
      <c r="T75" s="6"/>
      <c r="U75" s="6"/>
      <c r="V75" s="6"/>
      <c r="W75" s="6"/>
      <c r="X75" s="6"/>
      <c r="Y75" s="6"/>
      <c r="Z75" s="6"/>
      <c r="AA75" s="6"/>
    </row>
    <row r="76" spans="1:27" ht="16.5" customHeight="1" x14ac:dyDescent="0.2">
      <c r="A76" s="3"/>
      <c r="B76" s="3"/>
      <c r="C76" s="6"/>
      <c r="D76" s="6"/>
      <c r="E76" s="6"/>
      <c r="F76" s="6"/>
      <c r="G76" s="6"/>
      <c r="H76" s="6"/>
      <c r="I76" s="6"/>
      <c r="J76" s="6"/>
      <c r="K76" s="6"/>
      <c r="L76" s="6"/>
      <c r="M76" s="6"/>
      <c r="N76" s="6"/>
      <c r="O76" s="6"/>
      <c r="P76" s="6"/>
      <c r="Q76" s="6"/>
      <c r="R76" s="6"/>
      <c r="S76" s="6"/>
      <c r="T76" s="6"/>
      <c r="U76" s="6"/>
      <c r="V76" s="6"/>
      <c r="W76" s="6"/>
      <c r="X76" s="6"/>
      <c r="Y76" s="6"/>
      <c r="Z76" s="6"/>
      <c r="AA76" s="6"/>
    </row>
    <row r="77" spans="1:27" ht="16.5" customHeight="1" x14ac:dyDescent="0.2">
      <c r="A77" s="3"/>
      <c r="B77" s="3"/>
      <c r="C77" s="6"/>
      <c r="D77" s="6"/>
      <c r="E77" s="6"/>
      <c r="F77" s="6"/>
      <c r="G77" s="6"/>
      <c r="H77" s="6"/>
      <c r="I77" s="6"/>
      <c r="J77" s="6"/>
      <c r="K77" s="6"/>
      <c r="L77" s="6"/>
      <c r="M77" s="6"/>
      <c r="N77" s="6"/>
      <c r="O77" s="6"/>
      <c r="P77" s="6"/>
      <c r="Q77" s="6"/>
      <c r="R77" s="6"/>
      <c r="S77" s="6"/>
      <c r="T77" s="6"/>
      <c r="U77" s="6"/>
      <c r="V77" s="6"/>
      <c r="W77" s="6"/>
      <c r="X77" s="6"/>
      <c r="Y77" s="6"/>
      <c r="Z77" s="6"/>
      <c r="AA77" s="6"/>
    </row>
    <row r="78" spans="1:27" ht="16.5" customHeight="1" x14ac:dyDescent="0.2">
      <c r="A78" s="3"/>
      <c r="B78" s="3"/>
      <c r="C78" s="6"/>
      <c r="D78" s="6"/>
      <c r="E78" s="6"/>
      <c r="F78" s="6"/>
      <c r="G78" s="6"/>
      <c r="H78" s="6"/>
      <c r="I78" s="6"/>
      <c r="J78" s="6"/>
      <c r="K78" s="6"/>
      <c r="L78" s="6"/>
      <c r="M78" s="6"/>
      <c r="N78" s="6"/>
      <c r="O78" s="6"/>
      <c r="P78" s="6"/>
      <c r="Q78" s="6"/>
      <c r="R78" s="6"/>
      <c r="S78" s="6"/>
      <c r="T78" s="6"/>
      <c r="U78" s="6"/>
      <c r="V78" s="6"/>
      <c r="W78" s="6"/>
      <c r="X78" s="6"/>
      <c r="Y78" s="6"/>
      <c r="Z78" s="6"/>
      <c r="AA78" s="6"/>
    </row>
    <row r="79" spans="1:27" ht="16.5" customHeight="1" x14ac:dyDescent="0.2">
      <c r="A79" s="3"/>
      <c r="B79" s="3"/>
      <c r="C79" s="6"/>
      <c r="D79" s="6"/>
      <c r="E79" s="6"/>
      <c r="F79" s="6"/>
      <c r="G79" s="6"/>
      <c r="H79" s="6"/>
      <c r="I79" s="6"/>
      <c r="J79" s="6"/>
      <c r="K79" s="6"/>
      <c r="L79" s="6"/>
      <c r="M79" s="6"/>
      <c r="N79" s="6"/>
      <c r="O79" s="6"/>
      <c r="P79" s="6"/>
      <c r="Q79" s="6"/>
      <c r="R79" s="6"/>
      <c r="S79" s="6"/>
      <c r="T79" s="6"/>
      <c r="U79" s="6"/>
      <c r="V79" s="6"/>
      <c r="W79" s="6"/>
      <c r="X79" s="6"/>
      <c r="Y79" s="6"/>
      <c r="Z79" s="6"/>
      <c r="AA79" s="6"/>
    </row>
    <row r="80" spans="1:27" ht="16.5" customHeight="1" x14ac:dyDescent="0.2">
      <c r="A80" s="3"/>
      <c r="B80" s="3"/>
      <c r="C80" s="6"/>
      <c r="D80" s="6"/>
      <c r="E80" s="6"/>
      <c r="F80" s="6"/>
      <c r="G80" s="6"/>
      <c r="H80" s="6"/>
      <c r="I80" s="6"/>
      <c r="J80" s="6"/>
      <c r="K80" s="6"/>
      <c r="L80" s="6"/>
      <c r="M80" s="6"/>
      <c r="N80" s="6"/>
      <c r="O80" s="6"/>
      <c r="P80" s="6"/>
      <c r="Q80" s="6"/>
      <c r="R80" s="6"/>
      <c r="S80" s="6"/>
      <c r="T80" s="6"/>
      <c r="U80" s="6"/>
      <c r="V80" s="6"/>
      <c r="W80" s="6"/>
      <c r="X80" s="6"/>
      <c r="Y80" s="6"/>
      <c r="Z80" s="6"/>
      <c r="AA80" s="6"/>
    </row>
    <row r="81" spans="1:27" ht="16.5" customHeight="1" x14ac:dyDescent="0.2">
      <c r="A81" s="3"/>
      <c r="B81" s="3"/>
      <c r="C81" s="6"/>
      <c r="D81" s="6"/>
      <c r="E81" s="6"/>
      <c r="F81" s="6"/>
      <c r="G81" s="6"/>
      <c r="H81" s="6"/>
      <c r="I81" s="6"/>
      <c r="J81" s="6"/>
      <c r="K81" s="6"/>
      <c r="L81" s="6"/>
      <c r="M81" s="6"/>
      <c r="N81" s="6"/>
      <c r="O81" s="6"/>
      <c r="P81" s="6"/>
      <c r="Q81" s="6"/>
      <c r="R81" s="6"/>
      <c r="S81" s="6"/>
      <c r="T81" s="6"/>
      <c r="U81" s="6"/>
      <c r="V81" s="6"/>
      <c r="W81" s="6"/>
      <c r="X81" s="6"/>
      <c r="Y81" s="6"/>
      <c r="Z81" s="6"/>
      <c r="AA81" s="6"/>
    </row>
    <row r="82" spans="1:27" ht="16.5" customHeight="1" x14ac:dyDescent="0.2">
      <c r="A82" s="3"/>
      <c r="B82" s="3"/>
      <c r="C82" s="6"/>
      <c r="D82" s="6"/>
      <c r="E82" s="6"/>
      <c r="F82" s="6"/>
      <c r="G82" s="6"/>
      <c r="H82" s="6"/>
      <c r="I82" s="6"/>
      <c r="J82" s="6"/>
      <c r="K82" s="6"/>
      <c r="L82" s="6"/>
      <c r="M82" s="6"/>
      <c r="N82" s="6"/>
      <c r="O82" s="6"/>
      <c r="P82" s="6"/>
      <c r="Q82" s="6"/>
      <c r="R82" s="6"/>
      <c r="S82" s="6"/>
      <c r="T82" s="6"/>
      <c r="U82" s="6"/>
      <c r="V82" s="6"/>
      <c r="W82" s="6"/>
      <c r="X82" s="6"/>
      <c r="Y82" s="6"/>
      <c r="Z82" s="6"/>
      <c r="AA82" s="6"/>
    </row>
    <row r="83" spans="1:27" ht="16.5" customHeight="1" x14ac:dyDescent="0.2">
      <c r="A83" s="3"/>
      <c r="B83" s="3"/>
      <c r="C83" s="6"/>
      <c r="D83" s="6"/>
      <c r="E83" s="6"/>
      <c r="F83" s="6"/>
      <c r="G83" s="6"/>
      <c r="H83" s="6"/>
      <c r="I83" s="6"/>
      <c r="J83" s="6"/>
      <c r="K83" s="6"/>
      <c r="L83" s="6"/>
      <c r="M83" s="6"/>
      <c r="N83" s="6"/>
      <c r="O83" s="6"/>
      <c r="P83" s="6"/>
      <c r="Q83" s="6"/>
      <c r="R83" s="6"/>
      <c r="S83" s="6"/>
      <c r="T83" s="6"/>
      <c r="U83" s="6"/>
      <c r="V83" s="6"/>
      <c r="W83" s="6"/>
      <c r="X83" s="6"/>
      <c r="Y83" s="6"/>
      <c r="Z83" s="6"/>
      <c r="AA83" s="6"/>
    </row>
    <row r="84" spans="1:27" ht="16.5" customHeight="1" x14ac:dyDescent="0.2">
      <c r="A84" s="3"/>
      <c r="B84" s="3"/>
      <c r="C84" s="6"/>
      <c r="D84" s="6"/>
      <c r="E84" s="6"/>
      <c r="F84" s="6"/>
      <c r="G84" s="6"/>
      <c r="H84" s="6"/>
      <c r="I84" s="6"/>
      <c r="J84" s="6"/>
      <c r="K84" s="6"/>
      <c r="L84" s="6"/>
      <c r="M84" s="6"/>
      <c r="N84" s="6"/>
      <c r="O84" s="6"/>
      <c r="P84" s="6"/>
      <c r="Q84" s="6"/>
      <c r="R84" s="6"/>
      <c r="S84" s="6"/>
      <c r="T84" s="6"/>
      <c r="U84" s="6"/>
      <c r="V84" s="6"/>
      <c r="W84" s="6"/>
      <c r="X84" s="6"/>
      <c r="Y84" s="6"/>
      <c r="Z84" s="6"/>
      <c r="AA84" s="6"/>
    </row>
    <row r="85" spans="1:27" ht="16.5" customHeight="1" x14ac:dyDescent="0.2">
      <c r="A85" s="3"/>
      <c r="B85" s="3"/>
      <c r="C85" s="6"/>
      <c r="D85" s="6"/>
      <c r="E85" s="6"/>
      <c r="F85" s="6"/>
      <c r="G85" s="6"/>
      <c r="H85" s="6"/>
      <c r="I85" s="6"/>
      <c r="J85" s="6"/>
      <c r="K85" s="6"/>
      <c r="L85" s="6"/>
      <c r="M85" s="6"/>
      <c r="N85" s="6"/>
      <c r="O85" s="6"/>
      <c r="P85" s="6"/>
      <c r="Q85" s="6"/>
      <c r="R85" s="6"/>
      <c r="S85" s="6"/>
      <c r="T85" s="6"/>
      <c r="U85" s="6"/>
      <c r="V85" s="6"/>
      <c r="W85" s="6"/>
      <c r="X85" s="6"/>
      <c r="Y85" s="6"/>
      <c r="Z85" s="6"/>
      <c r="AA85" s="6"/>
    </row>
    <row r="86" spans="1:27" ht="16.5" customHeight="1" x14ac:dyDescent="0.2">
      <c r="A86" s="3"/>
      <c r="B86" s="3"/>
      <c r="C86" s="6"/>
      <c r="D86" s="6"/>
      <c r="E86" s="6"/>
      <c r="F86" s="6"/>
      <c r="G86" s="6"/>
      <c r="H86" s="6"/>
      <c r="I86" s="6"/>
      <c r="J86" s="6"/>
      <c r="K86" s="6"/>
      <c r="L86" s="6"/>
      <c r="M86" s="6"/>
      <c r="N86" s="6"/>
      <c r="O86" s="6"/>
      <c r="P86" s="6"/>
      <c r="Q86" s="6"/>
      <c r="R86" s="6"/>
      <c r="S86" s="6"/>
      <c r="T86" s="6"/>
      <c r="U86" s="6"/>
      <c r="V86" s="6"/>
      <c r="W86" s="6"/>
      <c r="X86" s="6"/>
      <c r="Y86" s="6"/>
      <c r="Z86" s="6"/>
      <c r="AA86" s="6"/>
    </row>
    <row r="87" spans="1:27" ht="16.5" customHeight="1" x14ac:dyDescent="0.2">
      <c r="A87" s="3"/>
      <c r="B87" s="3"/>
      <c r="C87" s="6"/>
      <c r="D87" s="6"/>
      <c r="E87" s="6"/>
      <c r="F87" s="6"/>
      <c r="G87" s="6"/>
      <c r="H87" s="6"/>
      <c r="I87" s="6"/>
      <c r="J87" s="6"/>
      <c r="K87" s="6"/>
      <c r="L87" s="6"/>
      <c r="M87" s="6"/>
      <c r="N87" s="6"/>
      <c r="O87" s="6"/>
      <c r="P87" s="6"/>
      <c r="Q87" s="6"/>
      <c r="R87" s="6"/>
      <c r="S87" s="6"/>
      <c r="T87" s="6"/>
      <c r="U87" s="6"/>
      <c r="V87" s="6"/>
      <c r="W87" s="6"/>
      <c r="X87" s="6"/>
      <c r="Y87" s="6"/>
      <c r="Z87" s="6"/>
      <c r="AA87" s="6"/>
    </row>
    <row r="88" spans="1:27" ht="16.5" customHeight="1" x14ac:dyDescent="0.2">
      <c r="A88" s="3"/>
      <c r="B88" s="3"/>
      <c r="C88" s="6"/>
      <c r="D88" s="6"/>
      <c r="E88" s="6"/>
      <c r="F88" s="6"/>
      <c r="G88" s="6"/>
      <c r="H88" s="6"/>
      <c r="I88" s="6"/>
      <c r="J88" s="6"/>
      <c r="K88" s="6"/>
      <c r="L88" s="6"/>
      <c r="M88" s="6"/>
      <c r="N88" s="6"/>
      <c r="O88" s="6"/>
      <c r="P88" s="6"/>
      <c r="Q88" s="6"/>
      <c r="R88" s="6"/>
      <c r="S88" s="6"/>
      <c r="T88" s="6"/>
      <c r="U88" s="6"/>
      <c r="V88" s="6"/>
      <c r="W88" s="6"/>
      <c r="X88" s="6"/>
      <c r="Y88" s="6"/>
      <c r="Z88" s="6"/>
      <c r="AA88" s="6"/>
    </row>
    <row r="89" spans="1:27" ht="16.5" customHeight="1" x14ac:dyDescent="0.2">
      <c r="A89" s="3"/>
      <c r="B89" s="3"/>
      <c r="C89" s="6"/>
      <c r="D89" s="6"/>
      <c r="E89" s="6"/>
      <c r="F89" s="6"/>
      <c r="G89" s="6"/>
      <c r="H89" s="6"/>
      <c r="I89" s="6"/>
      <c r="J89" s="6"/>
      <c r="K89" s="6"/>
      <c r="L89" s="6"/>
      <c r="M89" s="6"/>
      <c r="N89" s="6"/>
      <c r="O89" s="6"/>
      <c r="P89" s="6"/>
      <c r="Q89" s="6"/>
      <c r="R89" s="6"/>
      <c r="S89" s="6"/>
      <c r="T89" s="6"/>
      <c r="U89" s="6"/>
      <c r="V89" s="6"/>
      <c r="W89" s="6"/>
      <c r="X89" s="6"/>
      <c r="Y89" s="6"/>
      <c r="Z89" s="6"/>
      <c r="AA89" s="6"/>
    </row>
    <row r="90" spans="1:27" ht="16.5" customHeight="1" x14ac:dyDescent="0.2">
      <c r="A90" s="3"/>
      <c r="B90" s="3"/>
      <c r="C90" s="6"/>
      <c r="D90" s="6"/>
      <c r="E90" s="6"/>
      <c r="F90" s="6"/>
      <c r="G90" s="6"/>
      <c r="H90" s="6"/>
      <c r="I90" s="6"/>
      <c r="J90" s="6"/>
      <c r="K90" s="6"/>
      <c r="L90" s="6"/>
      <c r="M90" s="6"/>
      <c r="N90" s="6"/>
      <c r="O90" s="6"/>
      <c r="P90" s="6"/>
      <c r="Q90" s="6"/>
      <c r="R90" s="6"/>
      <c r="S90" s="6"/>
      <c r="T90" s="6"/>
      <c r="U90" s="6"/>
      <c r="V90" s="6"/>
      <c r="W90" s="6"/>
      <c r="X90" s="6"/>
      <c r="Y90" s="6"/>
      <c r="Z90" s="6"/>
      <c r="AA90" s="6"/>
    </row>
    <row r="91" spans="1:27" ht="16.5" customHeight="1" x14ac:dyDescent="0.2">
      <c r="A91" s="3"/>
      <c r="B91" s="3"/>
      <c r="C91" s="6"/>
      <c r="D91" s="6"/>
      <c r="E91" s="6"/>
      <c r="F91" s="6"/>
      <c r="G91" s="6"/>
      <c r="H91" s="6"/>
      <c r="I91" s="6"/>
      <c r="J91" s="6"/>
      <c r="K91" s="6"/>
      <c r="L91" s="6"/>
      <c r="M91" s="6"/>
      <c r="N91" s="6"/>
      <c r="O91" s="6"/>
      <c r="P91" s="6"/>
      <c r="Q91" s="6"/>
      <c r="R91" s="6"/>
      <c r="S91" s="6"/>
      <c r="T91" s="6"/>
      <c r="U91" s="6"/>
      <c r="V91" s="6"/>
      <c r="W91" s="6"/>
      <c r="X91" s="6"/>
      <c r="Y91" s="6"/>
      <c r="Z91" s="6"/>
      <c r="AA91" s="6"/>
    </row>
    <row r="92" spans="1:27" ht="16.5" customHeight="1" x14ac:dyDescent="0.2">
      <c r="A92" s="3"/>
      <c r="B92" s="3"/>
      <c r="C92" s="6"/>
      <c r="D92" s="6"/>
      <c r="E92" s="6"/>
      <c r="F92" s="6"/>
      <c r="G92" s="6"/>
      <c r="H92" s="6"/>
      <c r="I92" s="6"/>
      <c r="J92" s="6"/>
      <c r="K92" s="6"/>
      <c r="L92" s="6"/>
      <c r="M92" s="6"/>
      <c r="N92" s="6"/>
      <c r="O92" s="6"/>
      <c r="P92" s="6"/>
      <c r="Q92" s="6"/>
      <c r="R92" s="6"/>
      <c r="S92" s="6"/>
      <c r="T92" s="6"/>
      <c r="U92" s="6"/>
      <c r="V92" s="6"/>
      <c r="W92" s="6"/>
      <c r="X92" s="6"/>
      <c r="Y92" s="6"/>
      <c r="Z92" s="6"/>
      <c r="AA92" s="6"/>
    </row>
    <row r="93" spans="1:27" ht="16.5" customHeight="1" x14ac:dyDescent="0.2">
      <c r="A93" s="3"/>
      <c r="B93" s="3"/>
      <c r="C93" s="6"/>
      <c r="D93" s="6"/>
      <c r="E93" s="6"/>
      <c r="F93" s="6"/>
      <c r="G93" s="6"/>
      <c r="H93" s="6"/>
      <c r="I93" s="6"/>
      <c r="J93" s="6"/>
      <c r="K93" s="6"/>
      <c r="L93" s="6"/>
      <c r="M93" s="6"/>
      <c r="N93" s="6"/>
      <c r="O93" s="6"/>
      <c r="P93" s="6"/>
      <c r="Q93" s="6"/>
      <c r="R93" s="6"/>
      <c r="S93" s="6"/>
      <c r="T93" s="6"/>
      <c r="U93" s="6"/>
      <c r="V93" s="6"/>
      <c r="W93" s="6"/>
      <c r="X93" s="6"/>
      <c r="Y93" s="6"/>
      <c r="Z93" s="6"/>
      <c r="AA93" s="6"/>
    </row>
    <row r="94" spans="1:27" ht="16.5" customHeight="1" x14ac:dyDescent="0.2">
      <c r="A94" s="3"/>
      <c r="B94" s="3"/>
      <c r="C94" s="6"/>
      <c r="D94" s="6"/>
      <c r="E94" s="6"/>
      <c r="F94" s="6"/>
      <c r="G94" s="6"/>
      <c r="H94" s="6"/>
      <c r="I94" s="6"/>
      <c r="J94" s="6"/>
      <c r="K94" s="6"/>
      <c r="L94" s="6"/>
      <c r="M94" s="6"/>
      <c r="N94" s="6"/>
      <c r="O94" s="6"/>
      <c r="P94" s="6"/>
      <c r="Q94" s="6"/>
      <c r="R94" s="6"/>
      <c r="S94" s="6"/>
      <c r="T94" s="6"/>
      <c r="U94" s="6"/>
      <c r="V94" s="6"/>
      <c r="W94" s="6"/>
      <c r="X94" s="6"/>
      <c r="Y94" s="6"/>
      <c r="Z94" s="6"/>
      <c r="AA94" s="6"/>
    </row>
    <row r="95" spans="1:27" ht="16.5" customHeight="1" x14ac:dyDescent="0.2">
      <c r="A95" s="3"/>
      <c r="B95" s="3"/>
      <c r="C95" s="6"/>
      <c r="D95" s="6"/>
      <c r="E95" s="6"/>
      <c r="F95" s="6"/>
      <c r="G95" s="6"/>
      <c r="H95" s="6"/>
      <c r="I95" s="6"/>
      <c r="J95" s="6"/>
      <c r="K95" s="6"/>
      <c r="L95" s="6"/>
      <c r="M95" s="6"/>
      <c r="N95" s="6"/>
      <c r="O95" s="6"/>
      <c r="P95" s="6"/>
      <c r="Q95" s="6"/>
      <c r="R95" s="6"/>
      <c r="S95" s="6"/>
      <c r="T95" s="6"/>
      <c r="U95" s="6"/>
      <c r="V95" s="6"/>
      <c r="W95" s="6"/>
      <c r="X95" s="6"/>
      <c r="Y95" s="6"/>
      <c r="Z95" s="6"/>
      <c r="AA95" s="6"/>
    </row>
    <row r="96" spans="1:27" ht="16.5" customHeight="1" x14ac:dyDescent="0.2">
      <c r="A96" s="3"/>
      <c r="B96" s="3"/>
      <c r="C96" s="6"/>
      <c r="D96" s="6"/>
      <c r="E96" s="6"/>
      <c r="F96" s="6"/>
      <c r="G96" s="6"/>
      <c r="H96" s="6"/>
      <c r="I96" s="6"/>
      <c r="J96" s="6"/>
      <c r="K96" s="6"/>
      <c r="L96" s="6"/>
      <c r="M96" s="6"/>
      <c r="N96" s="6"/>
      <c r="O96" s="6"/>
      <c r="P96" s="6"/>
      <c r="Q96" s="6"/>
      <c r="R96" s="6"/>
      <c r="S96" s="6"/>
      <c r="T96" s="6"/>
      <c r="U96" s="6"/>
      <c r="V96" s="6"/>
      <c r="W96" s="6"/>
      <c r="X96" s="6"/>
      <c r="Y96" s="6"/>
      <c r="Z96" s="6"/>
      <c r="AA96" s="6"/>
    </row>
    <row r="97" spans="1:27" ht="16.5" customHeight="1" x14ac:dyDescent="0.2">
      <c r="A97" s="3"/>
      <c r="B97" s="3"/>
      <c r="C97" s="6"/>
      <c r="D97" s="6"/>
      <c r="E97" s="6"/>
      <c r="F97" s="6"/>
      <c r="G97" s="6"/>
      <c r="H97" s="6"/>
      <c r="I97" s="6"/>
      <c r="J97" s="6"/>
      <c r="K97" s="6"/>
      <c r="L97" s="6"/>
      <c r="M97" s="6"/>
      <c r="N97" s="6"/>
      <c r="O97" s="6"/>
      <c r="P97" s="6"/>
      <c r="Q97" s="6"/>
      <c r="R97" s="6"/>
      <c r="S97" s="6"/>
      <c r="T97" s="6"/>
      <c r="U97" s="6"/>
      <c r="V97" s="6"/>
      <c r="W97" s="6"/>
      <c r="X97" s="6"/>
      <c r="Y97" s="6"/>
      <c r="Z97" s="6"/>
      <c r="AA97" s="6"/>
    </row>
    <row r="98" spans="1:27" ht="16.5" customHeight="1" x14ac:dyDescent="0.2">
      <c r="A98" s="3"/>
      <c r="B98" s="3"/>
      <c r="C98" s="6"/>
      <c r="D98" s="6"/>
      <c r="E98" s="6"/>
      <c r="F98" s="6"/>
      <c r="G98" s="6"/>
      <c r="H98" s="6"/>
      <c r="I98" s="6"/>
      <c r="J98" s="6"/>
      <c r="K98" s="6"/>
      <c r="L98" s="6"/>
      <c r="M98" s="6"/>
      <c r="N98" s="6"/>
      <c r="O98" s="6"/>
      <c r="P98" s="6"/>
      <c r="Q98" s="6"/>
      <c r="R98" s="6"/>
      <c r="S98" s="6"/>
      <c r="T98" s="6"/>
      <c r="U98" s="6"/>
      <c r="V98" s="6"/>
      <c r="W98" s="6"/>
      <c r="X98" s="6"/>
      <c r="Y98" s="6"/>
      <c r="Z98" s="6"/>
      <c r="AA98" s="6"/>
    </row>
    <row r="99" spans="1:27" ht="16.5" customHeight="1" x14ac:dyDescent="0.2">
      <c r="A99" s="3"/>
      <c r="B99" s="3"/>
      <c r="C99" s="6"/>
      <c r="D99" s="6"/>
      <c r="E99" s="6"/>
      <c r="F99" s="6"/>
      <c r="G99" s="6"/>
      <c r="H99" s="6"/>
      <c r="I99" s="6"/>
      <c r="J99" s="6"/>
      <c r="K99" s="6"/>
      <c r="L99" s="6"/>
      <c r="M99" s="6"/>
      <c r="N99" s="6"/>
      <c r="O99" s="6"/>
      <c r="P99" s="6"/>
      <c r="Q99" s="6"/>
      <c r="R99" s="6"/>
      <c r="S99" s="6"/>
      <c r="T99" s="6"/>
      <c r="U99" s="6"/>
      <c r="V99" s="6"/>
      <c r="W99" s="6"/>
      <c r="X99" s="6"/>
      <c r="Y99" s="6"/>
      <c r="Z99" s="6"/>
      <c r="AA99" s="6"/>
    </row>
    <row r="100" spans="1:27" ht="16.5" customHeight="1" x14ac:dyDescent="0.2">
      <c r="A100" s="3"/>
      <c r="B100" s="3"/>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ht="16.5" customHeight="1" x14ac:dyDescent="0.2">
      <c r="A101" s="3"/>
      <c r="B101" s="3"/>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ht="16.5" customHeight="1" x14ac:dyDescent="0.2">
      <c r="A102" s="3"/>
      <c r="B102" s="3"/>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ht="16.5" customHeight="1" x14ac:dyDescent="0.2">
      <c r="A103" s="3"/>
      <c r="B103" s="3"/>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ht="16.5" customHeight="1" x14ac:dyDescent="0.2">
      <c r="A104" s="3"/>
      <c r="B104" s="3"/>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ht="16.5" customHeight="1" x14ac:dyDescent="0.2">
      <c r="A105" s="3"/>
      <c r="B105" s="3"/>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ht="16.5" customHeight="1" x14ac:dyDescent="0.2">
      <c r="A106" s="3"/>
      <c r="B106" s="3"/>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ht="16.5" customHeight="1" x14ac:dyDescent="0.2">
      <c r="A107" s="3"/>
      <c r="B107" s="3"/>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ht="16.5" customHeight="1" x14ac:dyDescent="0.2">
      <c r="A108" s="3"/>
      <c r="B108" s="3"/>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ht="16.5" customHeight="1" x14ac:dyDescent="0.2">
      <c r="A109" s="3"/>
      <c r="B109" s="3"/>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16.5" customHeight="1" x14ac:dyDescent="0.2">
      <c r="A110" s="3"/>
      <c r="B110" s="3"/>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ht="16.5" customHeight="1" x14ac:dyDescent="0.2">
      <c r="A111" s="3"/>
      <c r="B111" s="3"/>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ht="16.5" customHeight="1" x14ac:dyDescent="0.2">
      <c r="A112" s="3"/>
      <c r="B112" s="3"/>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ht="16.5" customHeight="1" x14ac:dyDescent="0.2">
      <c r="A113" s="3"/>
      <c r="B113" s="3"/>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ht="16.5" customHeight="1" x14ac:dyDescent="0.2">
      <c r="A114" s="3"/>
      <c r="B114" s="3"/>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16.5" customHeight="1" x14ac:dyDescent="0.2">
      <c r="A115" s="3"/>
      <c r="B115" s="3"/>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16.5" customHeight="1" x14ac:dyDescent="0.2">
      <c r="A116" s="3"/>
      <c r="B116" s="3"/>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16.5" customHeight="1" x14ac:dyDescent="0.2">
      <c r="A117" s="3"/>
      <c r="B117" s="3"/>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16.5" customHeight="1" x14ac:dyDescent="0.2">
      <c r="A118" s="3"/>
      <c r="B118" s="3"/>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16.5" customHeight="1" x14ac:dyDescent="0.2">
      <c r="A119" s="3"/>
      <c r="B119" s="3"/>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16.5" customHeight="1" x14ac:dyDescent="0.2">
      <c r="A120" s="3"/>
      <c r="B120" s="3"/>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16.5" customHeight="1" x14ac:dyDescent="0.2">
      <c r="A121" s="3"/>
      <c r="B121" s="3"/>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16.5" customHeight="1" x14ac:dyDescent="0.2">
      <c r="A122" s="3"/>
      <c r="B122" s="3"/>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16.5" customHeight="1" x14ac:dyDescent="0.2">
      <c r="A123" s="3"/>
      <c r="B123" s="3"/>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16.5" customHeight="1" x14ac:dyDescent="0.2">
      <c r="A124" s="3"/>
      <c r="B124" s="3"/>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16.5" customHeight="1" x14ac:dyDescent="0.2">
      <c r="A125" s="3"/>
      <c r="B125" s="3"/>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16.5" customHeight="1" x14ac:dyDescent="0.2">
      <c r="A126" s="3"/>
      <c r="B126" s="3"/>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16.5" customHeight="1" x14ac:dyDescent="0.2">
      <c r="A127" s="3"/>
      <c r="B127" s="3"/>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16.5" customHeight="1" x14ac:dyDescent="0.2">
      <c r="A128" s="3"/>
      <c r="B128" s="3"/>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16.5" customHeight="1" x14ac:dyDescent="0.2">
      <c r="A129" s="3"/>
      <c r="B129" s="3"/>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16.5" customHeight="1" x14ac:dyDescent="0.2">
      <c r="A130" s="3"/>
      <c r="B130" s="3"/>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16.5" customHeight="1" x14ac:dyDescent="0.2">
      <c r="A131" s="3"/>
      <c r="B131" s="3"/>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16.5" customHeight="1" x14ac:dyDescent="0.2">
      <c r="A132" s="3"/>
      <c r="B132" s="3"/>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16.5" customHeight="1" x14ac:dyDescent="0.2">
      <c r="A133" s="3"/>
      <c r="B133" s="3"/>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16.5" customHeight="1" x14ac:dyDescent="0.2">
      <c r="A134" s="3"/>
      <c r="B134" s="3"/>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16.5" customHeight="1" x14ac:dyDescent="0.2">
      <c r="A135" s="3"/>
      <c r="B135" s="3"/>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16.5" customHeight="1" x14ac:dyDescent="0.2">
      <c r="A136" s="3"/>
      <c r="B136" s="3"/>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16.5" customHeight="1" x14ac:dyDescent="0.2">
      <c r="A137" s="3"/>
      <c r="B137" s="3"/>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16.5" customHeight="1" x14ac:dyDescent="0.2">
      <c r="A138" s="3"/>
      <c r="B138" s="3"/>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16.5" customHeight="1" x14ac:dyDescent="0.2">
      <c r="A139" s="3"/>
      <c r="B139" s="3"/>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16.5" customHeight="1" x14ac:dyDescent="0.2">
      <c r="A140" s="3"/>
      <c r="B140" s="3"/>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16.5" customHeight="1" x14ac:dyDescent="0.2">
      <c r="A141" s="3"/>
      <c r="B141" s="3"/>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6.5" customHeight="1" x14ac:dyDescent="0.2">
      <c r="A142" s="3"/>
      <c r="B142" s="3"/>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16.5" customHeight="1" x14ac:dyDescent="0.2">
      <c r="A143" s="3"/>
      <c r="B143" s="3"/>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16.5" customHeight="1" x14ac:dyDescent="0.2">
      <c r="A144" s="3"/>
      <c r="B144" s="3"/>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16.5" customHeight="1" x14ac:dyDescent="0.2">
      <c r="A145" s="3"/>
      <c r="B145" s="3"/>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6.5" customHeight="1" x14ac:dyDescent="0.2">
      <c r="A146" s="3"/>
      <c r="B146" s="3"/>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16.5" customHeight="1" x14ac:dyDescent="0.2">
      <c r="A147" s="3"/>
      <c r="B147" s="3"/>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16.5" customHeight="1" x14ac:dyDescent="0.2">
      <c r="A148" s="3"/>
      <c r="B148" s="3"/>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16.5" customHeight="1" x14ac:dyDescent="0.2">
      <c r="A149" s="3"/>
      <c r="B149" s="3"/>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6.5" customHeight="1" x14ac:dyDescent="0.2">
      <c r="A150" s="3"/>
      <c r="B150" s="3"/>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16.5" customHeight="1" x14ac:dyDescent="0.2">
      <c r="A151" s="3"/>
      <c r="B151" s="3"/>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16.5" customHeight="1" x14ac:dyDescent="0.2">
      <c r="A152" s="3"/>
      <c r="B152" s="3"/>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16.5" customHeight="1" x14ac:dyDescent="0.2">
      <c r="A153" s="3"/>
      <c r="B153" s="3"/>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16.5" customHeight="1" x14ac:dyDescent="0.2">
      <c r="A154" s="3"/>
      <c r="B154" s="3"/>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16.5" customHeight="1" x14ac:dyDescent="0.2">
      <c r="A155" s="3"/>
      <c r="B155" s="3"/>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16.5" customHeight="1" x14ac:dyDescent="0.2">
      <c r="A156" s="3"/>
      <c r="B156" s="3"/>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16.5" customHeight="1" x14ac:dyDescent="0.2">
      <c r="A157" s="3"/>
      <c r="B157" s="3"/>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16.5" customHeight="1" x14ac:dyDescent="0.2">
      <c r="A158" s="3"/>
      <c r="B158" s="3"/>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16.5" customHeight="1" x14ac:dyDescent="0.2">
      <c r="A159" s="3"/>
      <c r="B159" s="3"/>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16.5" customHeight="1" x14ac:dyDescent="0.2">
      <c r="A160" s="3"/>
      <c r="B160" s="3"/>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16.5" customHeight="1" x14ac:dyDescent="0.2">
      <c r="A161" s="3"/>
      <c r="B161" s="3"/>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16.5" customHeight="1" x14ac:dyDescent="0.2">
      <c r="A162" s="3"/>
      <c r="B162" s="3"/>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16.5" customHeight="1" x14ac:dyDescent="0.2">
      <c r="A163" s="3"/>
      <c r="B163" s="3"/>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16.5" customHeight="1" x14ac:dyDescent="0.2">
      <c r="A164" s="3"/>
      <c r="B164" s="3"/>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16.5" customHeight="1" x14ac:dyDescent="0.2">
      <c r="A165" s="3"/>
      <c r="B165" s="3"/>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16.5" customHeight="1" x14ac:dyDescent="0.2">
      <c r="A166" s="3"/>
      <c r="B166" s="3"/>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16.5" customHeight="1" x14ac:dyDescent="0.2">
      <c r="A167" s="3"/>
      <c r="B167" s="3"/>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16.5" customHeight="1" x14ac:dyDescent="0.2">
      <c r="A168" s="3"/>
      <c r="B168" s="3"/>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16.5" customHeight="1" x14ac:dyDescent="0.2">
      <c r="A169" s="3"/>
      <c r="B169" s="3"/>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16.5" customHeight="1" x14ac:dyDescent="0.2">
      <c r="A170" s="3"/>
      <c r="B170" s="3"/>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16.5" customHeight="1" x14ac:dyDescent="0.2">
      <c r="A171" s="3"/>
      <c r="B171" s="3"/>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16.5" customHeight="1" x14ac:dyDescent="0.2">
      <c r="A172" s="3"/>
      <c r="B172" s="3"/>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16.5" customHeight="1" x14ac:dyDescent="0.2">
      <c r="A173" s="3"/>
      <c r="B173" s="3"/>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16.5" customHeight="1" x14ac:dyDescent="0.2">
      <c r="A174" s="3"/>
      <c r="B174" s="3"/>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16.5" customHeight="1" x14ac:dyDescent="0.2">
      <c r="A175" s="3"/>
      <c r="B175" s="3"/>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6.5" customHeight="1" x14ac:dyDescent="0.2">
      <c r="A176" s="3"/>
      <c r="B176" s="3"/>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16.5" customHeight="1" x14ac:dyDescent="0.2">
      <c r="A177" s="3"/>
      <c r="B177" s="3"/>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6.5" customHeight="1" x14ac:dyDescent="0.2">
      <c r="A178" s="3"/>
      <c r="B178" s="3"/>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16.5" customHeight="1" x14ac:dyDescent="0.2">
      <c r="A179" s="3"/>
      <c r="B179" s="3"/>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16.5" customHeight="1" x14ac:dyDescent="0.2">
      <c r="A180" s="3"/>
      <c r="B180" s="3"/>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16.5" customHeight="1" x14ac:dyDescent="0.2">
      <c r="A181" s="3"/>
      <c r="B181" s="3"/>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16.5" customHeight="1" x14ac:dyDescent="0.2">
      <c r="A182" s="3"/>
      <c r="B182" s="3"/>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6.5" customHeight="1" x14ac:dyDescent="0.2">
      <c r="A183" s="3"/>
      <c r="B183" s="3"/>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6.5" customHeight="1" x14ac:dyDescent="0.2">
      <c r="A184" s="3"/>
      <c r="B184" s="3"/>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6.5" customHeight="1" x14ac:dyDescent="0.2">
      <c r="A185" s="3"/>
      <c r="B185" s="3"/>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6.5" customHeight="1" x14ac:dyDescent="0.2">
      <c r="A186" s="3"/>
      <c r="B186" s="3"/>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6.5" customHeight="1" x14ac:dyDescent="0.2">
      <c r="A187" s="3"/>
      <c r="B187" s="3"/>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6.5" customHeight="1" x14ac:dyDescent="0.2">
      <c r="A188" s="3"/>
      <c r="B188" s="3"/>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6.5" customHeight="1" x14ac:dyDescent="0.2">
      <c r="A189" s="3"/>
      <c r="B189" s="3"/>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6.5" customHeight="1" x14ac:dyDescent="0.2">
      <c r="A190" s="3"/>
      <c r="B190" s="3"/>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6.5" customHeight="1" x14ac:dyDescent="0.2">
      <c r="A191" s="3"/>
      <c r="B191" s="3"/>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6.5" customHeight="1" x14ac:dyDescent="0.2">
      <c r="A192" s="3"/>
      <c r="B192" s="3"/>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6.5" customHeight="1" x14ac:dyDescent="0.2">
      <c r="A193" s="3"/>
      <c r="B193" s="3"/>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6.5" customHeight="1" x14ac:dyDescent="0.2">
      <c r="A194" s="3"/>
      <c r="B194" s="3"/>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6.5" customHeight="1" x14ac:dyDescent="0.2">
      <c r="A195" s="3"/>
      <c r="B195" s="3"/>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6.5" customHeight="1" x14ac:dyDescent="0.2">
      <c r="A196" s="3"/>
      <c r="B196" s="3"/>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6.5" customHeight="1" x14ac:dyDescent="0.2">
      <c r="A197" s="3"/>
      <c r="B197" s="3"/>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6.5" customHeight="1" x14ac:dyDescent="0.2">
      <c r="A198" s="3"/>
      <c r="B198" s="3"/>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6.5" customHeight="1" x14ac:dyDescent="0.2">
      <c r="A199" s="3"/>
      <c r="B199" s="3"/>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6.5" customHeight="1" x14ac:dyDescent="0.2">
      <c r="A200" s="3"/>
      <c r="B200" s="3"/>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6.5" customHeight="1" x14ac:dyDescent="0.2">
      <c r="A201" s="3"/>
      <c r="B201" s="3"/>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6.5" customHeight="1" x14ac:dyDescent="0.2">
      <c r="A202" s="3"/>
      <c r="B202" s="3"/>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6.5" customHeight="1" x14ac:dyDescent="0.2">
      <c r="A203" s="3"/>
      <c r="B203" s="3"/>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6.5" customHeight="1" x14ac:dyDescent="0.2">
      <c r="A204" s="3"/>
      <c r="B204" s="3"/>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6.5" customHeight="1" x14ac:dyDescent="0.2">
      <c r="A205" s="3"/>
      <c r="B205" s="3"/>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6.5" customHeight="1" x14ac:dyDescent="0.2">
      <c r="A206" s="3"/>
      <c r="B206" s="3"/>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6.5" customHeight="1" x14ac:dyDescent="0.2">
      <c r="A207" s="3"/>
      <c r="B207" s="3"/>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6.5" customHeight="1" x14ac:dyDescent="0.2">
      <c r="A208" s="3"/>
      <c r="B208" s="3"/>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6.5" customHeight="1" x14ac:dyDescent="0.2">
      <c r="A209" s="3"/>
      <c r="B209" s="3"/>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6.5" customHeight="1" x14ac:dyDescent="0.2">
      <c r="A210" s="3"/>
      <c r="B210" s="3"/>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6.5" customHeight="1" x14ac:dyDescent="0.2">
      <c r="A211" s="3"/>
      <c r="B211" s="3"/>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6.5" customHeight="1" x14ac:dyDescent="0.2">
      <c r="A212" s="3"/>
      <c r="B212" s="3"/>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6.5" customHeight="1" x14ac:dyDescent="0.2">
      <c r="A213" s="3"/>
      <c r="B213" s="3"/>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6.5" customHeight="1" x14ac:dyDescent="0.2">
      <c r="A214" s="3"/>
      <c r="B214" s="3"/>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6.5" customHeight="1" x14ac:dyDescent="0.2">
      <c r="A215" s="3"/>
      <c r="B215" s="3"/>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6.5" customHeight="1" x14ac:dyDescent="0.2">
      <c r="A216" s="3"/>
      <c r="B216" s="3"/>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6.5" customHeight="1" x14ac:dyDescent="0.2">
      <c r="A217" s="3"/>
      <c r="B217" s="3"/>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6.5" customHeight="1" x14ac:dyDescent="0.2">
      <c r="A218" s="3"/>
      <c r="B218" s="3"/>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6.5" customHeight="1" x14ac:dyDescent="0.2">
      <c r="A219" s="3"/>
      <c r="B219" s="3"/>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6.5" customHeight="1" x14ac:dyDescent="0.2">
      <c r="A220" s="3"/>
      <c r="B220" s="3"/>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6.5" customHeight="1" x14ac:dyDescent="0.2">
      <c r="A221" s="3"/>
      <c r="B221" s="3"/>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6.5" customHeight="1" x14ac:dyDescent="0.2">
      <c r="A222" s="3"/>
      <c r="B222" s="3"/>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6.5" customHeight="1" x14ac:dyDescent="0.2">
      <c r="A223" s="3"/>
      <c r="B223" s="3"/>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6.5" customHeight="1" x14ac:dyDescent="0.2">
      <c r="A224" s="3"/>
      <c r="B224" s="3"/>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6.5" customHeight="1" x14ac:dyDescent="0.2">
      <c r="A225" s="3"/>
      <c r="B225" s="3"/>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6.5" customHeight="1" x14ac:dyDescent="0.2">
      <c r="A226" s="3"/>
      <c r="B226" s="3"/>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6.5" customHeight="1" x14ac:dyDescent="0.2">
      <c r="A227" s="3"/>
      <c r="B227" s="3"/>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6.5" customHeight="1" x14ac:dyDescent="0.2">
      <c r="A228" s="3"/>
      <c r="B228" s="3"/>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6.5" customHeight="1" x14ac:dyDescent="0.2">
      <c r="A229" s="3"/>
      <c r="B229" s="3"/>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6.5" customHeight="1" x14ac:dyDescent="0.2">
      <c r="A230" s="3"/>
      <c r="B230" s="3"/>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6.5" customHeight="1" x14ac:dyDescent="0.2">
      <c r="A231" s="3"/>
      <c r="B231" s="3"/>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6.5" customHeight="1" x14ac:dyDescent="0.2">
      <c r="A232" s="3"/>
      <c r="B232" s="3"/>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6.5" customHeight="1" x14ac:dyDescent="0.2">
      <c r="A233" s="3"/>
      <c r="B233" s="3"/>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6.5" customHeight="1" x14ac:dyDescent="0.2">
      <c r="A234" s="3"/>
      <c r="B234" s="3"/>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6.5" customHeight="1" x14ac:dyDescent="0.2">
      <c r="A235" s="3"/>
      <c r="B235" s="3"/>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6.5" customHeight="1" x14ac:dyDescent="0.2">
      <c r="A236" s="3"/>
      <c r="B236" s="3"/>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6.5" customHeight="1" x14ac:dyDescent="0.2">
      <c r="A237" s="3"/>
      <c r="B237" s="3"/>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6.5" customHeight="1" x14ac:dyDescent="0.2">
      <c r="A238" s="3"/>
      <c r="B238" s="3"/>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6.5" customHeight="1" x14ac:dyDescent="0.2">
      <c r="A239" s="3"/>
      <c r="B239" s="3"/>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6.5" customHeight="1" x14ac:dyDescent="0.2">
      <c r="A240" s="3"/>
      <c r="B240" s="3"/>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6.5" customHeight="1" x14ac:dyDescent="0.2">
      <c r="A241" s="3"/>
      <c r="B241" s="3"/>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6.5" customHeight="1" x14ac:dyDescent="0.2">
      <c r="A242" s="3"/>
      <c r="B242" s="3"/>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6.5" customHeight="1" x14ac:dyDescent="0.2">
      <c r="A243" s="3"/>
      <c r="B243" s="3"/>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6.5" customHeight="1" x14ac:dyDescent="0.2">
      <c r="A244" s="3"/>
      <c r="B244" s="3"/>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6.5" customHeight="1" x14ac:dyDescent="0.2">
      <c r="A245" s="3"/>
      <c r="B245" s="3"/>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6.5" customHeight="1" x14ac:dyDescent="0.2">
      <c r="A246" s="3"/>
      <c r="B246" s="3"/>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6.5" customHeight="1" x14ac:dyDescent="0.2">
      <c r="A247" s="3"/>
      <c r="B247" s="3"/>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6.5" customHeight="1" x14ac:dyDescent="0.2">
      <c r="A248" s="3"/>
      <c r="B248" s="3"/>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6.5" customHeight="1" x14ac:dyDescent="0.2">
      <c r="A249" s="3"/>
      <c r="B249" s="3"/>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6.5" customHeight="1" x14ac:dyDescent="0.2">
      <c r="A250" s="3"/>
      <c r="B250" s="3"/>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6.5" customHeight="1" x14ac:dyDescent="0.2">
      <c r="A251" s="3"/>
      <c r="B251" s="3"/>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6.5" customHeight="1" x14ac:dyDescent="0.2">
      <c r="A252" s="3"/>
      <c r="B252" s="3"/>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6.5" customHeight="1" x14ac:dyDescent="0.2">
      <c r="A253" s="3"/>
      <c r="B253" s="3"/>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6.5" customHeight="1" x14ac:dyDescent="0.2">
      <c r="A254" s="3"/>
      <c r="B254" s="3"/>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6.5" customHeight="1" x14ac:dyDescent="0.2">
      <c r="A255" s="3"/>
      <c r="B255" s="3"/>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6.5" customHeight="1" x14ac:dyDescent="0.2">
      <c r="A256" s="3"/>
      <c r="B256" s="3"/>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6.5" customHeight="1" x14ac:dyDescent="0.2">
      <c r="A257" s="3"/>
      <c r="B257" s="3"/>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6.5" customHeight="1" x14ac:dyDescent="0.2">
      <c r="A258" s="3"/>
      <c r="B258" s="3"/>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6.5" customHeight="1" x14ac:dyDescent="0.2">
      <c r="A259" s="3"/>
      <c r="B259" s="3"/>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6.5" customHeight="1" x14ac:dyDescent="0.2">
      <c r="A260" s="3"/>
      <c r="B260" s="3"/>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6.5" customHeight="1" x14ac:dyDescent="0.2">
      <c r="A261" s="3"/>
      <c r="B261" s="3"/>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6.5" customHeight="1" x14ac:dyDescent="0.2">
      <c r="A262" s="3"/>
      <c r="B262" s="3"/>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6.5" customHeight="1" x14ac:dyDescent="0.2">
      <c r="A263" s="3"/>
      <c r="B263" s="3"/>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6.5" customHeight="1" x14ac:dyDescent="0.2">
      <c r="A264" s="3"/>
      <c r="B264" s="3"/>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6.5" customHeight="1" x14ac:dyDescent="0.2">
      <c r="A265" s="3"/>
      <c r="B265" s="3"/>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6.5" customHeight="1" x14ac:dyDescent="0.2">
      <c r="A266" s="3"/>
      <c r="B266" s="3"/>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6.5" customHeight="1" x14ac:dyDescent="0.2">
      <c r="A267" s="3"/>
      <c r="B267" s="3"/>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6.5" customHeight="1" x14ac:dyDescent="0.2">
      <c r="A268" s="3"/>
      <c r="B268" s="3"/>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6.5" customHeight="1" x14ac:dyDescent="0.2">
      <c r="A269" s="3"/>
      <c r="B269" s="3"/>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6.5" customHeight="1" x14ac:dyDescent="0.2">
      <c r="A270" s="3"/>
      <c r="B270" s="3"/>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6.5" customHeight="1" x14ac:dyDescent="0.2">
      <c r="A271" s="3"/>
      <c r="B271" s="3"/>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6.5" customHeight="1" x14ac:dyDescent="0.2">
      <c r="A272" s="3"/>
      <c r="B272" s="3"/>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6.5" customHeight="1" x14ac:dyDescent="0.2">
      <c r="A273" s="3"/>
      <c r="B273" s="3"/>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6.5" customHeight="1" x14ac:dyDescent="0.2">
      <c r="A274" s="3"/>
      <c r="B274" s="3"/>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6.5" customHeight="1" x14ac:dyDescent="0.2">
      <c r="A275" s="3"/>
      <c r="B275" s="3"/>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6.5" customHeight="1" x14ac:dyDescent="0.2">
      <c r="A276" s="3"/>
      <c r="B276" s="3"/>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6.5" customHeight="1" x14ac:dyDescent="0.2">
      <c r="A277" s="3"/>
      <c r="B277" s="3"/>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6.5" customHeight="1" x14ac:dyDescent="0.2">
      <c r="A278" s="3"/>
      <c r="B278" s="3"/>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6.5" customHeight="1" x14ac:dyDescent="0.2">
      <c r="A279" s="3"/>
      <c r="B279" s="3"/>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6.5" customHeight="1" x14ac:dyDescent="0.2">
      <c r="A280" s="3"/>
      <c r="B280" s="3"/>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6.5" customHeight="1" x14ac:dyDescent="0.2">
      <c r="A281" s="3"/>
      <c r="B281" s="3"/>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6.5" customHeight="1" x14ac:dyDescent="0.2">
      <c r="A282" s="3"/>
      <c r="B282" s="3"/>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6.5" customHeight="1" x14ac:dyDescent="0.2">
      <c r="A283" s="3"/>
      <c r="B283" s="3"/>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6.5" customHeight="1" x14ac:dyDescent="0.2">
      <c r="A284" s="3"/>
      <c r="B284" s="3"/>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6.5" customHeight="1" x14ac:dyDescent="0.2">
      <c r="A285" s="3"/>
      <c r="B285" s="3"/>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6.5" customHeight="1" x14ac:dyDescent="0.2">
      <c r="A286" s="3"/>
      <c r="B286" s="3"/>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6.5" customHeight="1" x14ac:dyDescent="0.2">
      <c r="A287" s="3"/>
      <c r="B287" s="3"/>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6.5" customHeight="1" x14ac:dyDescent="0.2">
      <c r="A288" s="3"/>
      <c r="B288" s="3"/>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6.5" customHeight="1" x14ac:dyDescent="0.2">
      <c r="A289" s="3"/>
      <c r="B289" s="3"/>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6.5" customHeight="1" x14ac:dyDescent="0.2">
      <c r="A290" s="3"/>
      <c r="B290" s="3"/>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6.5" customHeight="1" x14ac:dyDescent="0.2">
      <c r="A291" s="3"/>
      <c r="B291" s="3"/>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6.5" customHeight="1" x14ac:dyDescent="0.2">
      <c r="A292" s="3"/>
      <c r="B292" s="3"/>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6.5" customHeight="1" x14ac:dyDescent="0.2">
      <c r="A293" s="3"/>
      <c r="B293" s="3"/>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6.5" customHeight="1" x14ac:dyDescent="0.2">
      <c r="A294" s="3"/>
      <c r="B294" s="3"/>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6.5" customHeight="1" x14ac:dyDescent="0.2">
      <c r="A295" s="3"/>
      <c r="B295" s="3"/>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6.5" customHeight="1" x14ac:dyDescent="0.2">
      <c r="A296" s="3"/>
      <c r="B296" s="3"/>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6.5" customHeight="1" x14ac:dyDescent="0.2">
      <c r="A297" s="3"/>
      <c r="B297" s="3"/>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6.5" customHeight="1" x14ac:dyDescent="0.2">
      <c r="A298" s="3"/>
      <c r="B298" s="3"/>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6.5" customHeight="1" x14ac:dyDescent="0.2">
      <c r="A299" s="3"/>
      <c r="B299" s="3"/>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6.5" customHeight="1" x14ac:dyDescent="0.2">
      <c r="A300" s="3"/>
      <c r="B300" s="3"/>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6.5" customHeight="1" x14ac:dyDescent="0.2">
      <c r="A301" s="3"/>
      <c r="B301" s="3"/>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6.5" customHeight="1" x14ac:dyDescent="0.2">
      <c r="A302" s="3"/>
      <c r="B302" s="3"/>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6.5" customHeight="1" x14ac:dyDescent="0.2">
      <c r="A303" s="3"/>
      <c r="B303" s="3"/>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6.5" customHeight="1" x14ac:dyDescent="0.2">
      <c r="A304" s="3"/>
      <c r="B304" s="3"/>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6.5" customHeight="1" x14ac:dyDescent="0.2">
      <c r="A305" s="3"/>
      <c r="B305" s="3"/>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6.5" customHeight="1" x14ac:dyDescent="0.2">
      <c r="A306" s="3"/>
      <c r="B306" s="3"/>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6.5" customHeight="1" x14ac:dyDescent="0.2">
      <c r="A307" s="3"/>
      <c r="B307" s="3"/>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6.5" customHeight="1" x14ac:dyDescent="0.2">
      <c r="A308" s="3"/>
      <c r="B308" s="3"/>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6.5" customHeight="1" x14ac:dyDescent="0.2">
      <c r="A309" s="3"/>
      <c r="B309" s="3"/>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6.5" customHeight="1" x14ac:dyDescent="0.2">
      <c r="A310" s="3"/>
      <c r="B310" s="3"/>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6.5" customHeight="1" x14ac:dyDescent="0.2">
      <c r="A311" s="3"/>
      <c r="B311" s="3"/>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6.5" customHeight="1" x14ac:dyDescent="0.2">
      <c r="A312" s="3"/>
      <c r="B312" s="3"/>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6.5" customHeight="1" x14ac:dyDescent="0.2">
      <c r="A313" s="3"/>
      <c r="B313" s="3"/>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6.5" customHeight="1" x14ac:dyDescent="0.2">
      <c r="A314" s="3"/>
      <c r="B314" s="3"/>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6.5" customHeight="1" x14ac:dyDescent="0.2">
      <c r="A315" s="3"/>
      <c r="B315" s="3"/>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6.5" customHeight="1" x14ac:dyDescent="0.2">
      <c r="A316" s="3"/>
      <c r="B316" s="3"/>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6.5" customHeight="1" x14ac:dyDescent="0.2">
      <c r="A317" s="3"/>
      <c r="B317" s="3"/>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6.5" customHeight="1" x14ac:dyDescent="0.2">
      <c r="A318" s="3"/>
      <c r="B318" s="3"/>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6.5" customHeight="1" x14ac:dyDescent="0.2">
      <c r="A319" s="3"/>
      <c r="B319" s="3"/>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6.5" customHeight="1" x14ac:dyDescent="0.2">
      <c r="A320" s="3"/>
      <c r="B320" s="3"/>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6.5" customHeight="1" x14ac:dyDescent="0.2">
      <c r="A321" s="3"/>
      <c r="B321" s="3"/>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6.5" customHeight="1" x14ac:dyDescent="0.2">
      <c r="A322" s="3"/>
      <c r="B322" s="3"/>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6.5" customHeight="1" x14ac:dyDescent="0.2">
      <c r="A323" s="3"/>
      <c r="B323" s="3"/>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6.5" customHeight="1" x14ac:dyDescent="0.2">
      <c r="A324" s="3"/>
      <c r="B324" s="3"/>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6.5" customHeight="1" x14ac:dyDescent="0.2">
      <c r="A325" s="3"/>
      <c r="B325" s="3"/>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6.5" customHeight="1" x14ac:dyDescent="0.2">
      <c r="A326" s="3"/>
      <c r="B326" s="3"/>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6.5" customHeight="1" x14ac:dyDescent="0.2">
      <c r="A327" s="3"/>
      <c r="B327" s="3"/>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6.5" customHeight="1" x14ac:dyDescent="0.2">
      <c r="A328" s="3"/>
      <c r="B328" s="3"/>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6.5" customHeight="1" x14ac:dyDescent="0.2">
      <c r="A329" s="3"/>
      <c r="B329" s="3"/>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6.5" customHeight="1" x14ac:dyDescent="0.2">
      <c r="A330" s="3"/>
      <c r="B330" s="3"/>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6.5" customHeight="1" x14ac:dyDescent="0.2">
      <c r="A331" s="3"/>
      <c r="B331" s="3"/>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6.5" customHeight="1" x14ac:dyDescent="0.2">
      <c r="A332" s="3"/>
      <c r="B332" s="3"/>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6.5" customHeight="1" x14ac:dyDescent="0.2">
      <c r="A333" s="3"/>
      <c r="B333" s="3"/>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6.5" customHeight="1" x14ac:dyDescent="0.2">
      <c r="A334" s="3"/>
      <c r="B334" s="3"/>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6.5" customHeight="1" x14ac:dyDescent="0.2">
      <c r="A335" s="3"/>
      <c r="B335" s="3"/>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6.5" customHeight="1" x14ac:dyDescent="0.2">
      <c r="A336" s="3"/>
      <c r="B336" s="3"/>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6.5" customHeight="1" x14ac:dyDescent="0.2">
      <c r="A337" s="3"/>
      <c r="B337" s="3"/>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6.5" customHeight="1" x14ac:dyDescent="0.2">
      <c r="A338" s="3"/>
      <c r="B338" s="3"/>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6.5" customHeight="1" x14ac:dyDescent="0.2">
      <c r="A339" s="3"/>
      <c r="B339" s="3"/>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6.5" customHeight="1" x14ac:dyDescent="0.2">
      <c r="A340" s="3"/>
      <c r="B340" s="3"/>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6.5" customHeight="1" x14ac:dyDescent="0.2">
      <c r="A341" s="3"/>
      <c r="B341" s="3"/>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6.5" customHeight="1" x14ac:dyDescent="0.2">
      <c r="A342" s="3"/>
      <c r="B342" s="3"/>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6.5" customHeight="1" x14ac:dyDescent="0.2">
      <c r="A343" s="3"/>
      <c r="B343" s="3"/>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6.5" customHeight="1" x14ac:dyDescent="0.2">
      <c r="A344" s="3"/>
      <c r="B344" s="3"/>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6.5" customHeight="1" x14ac:dyDescent="0.2">
      <c r="A345" s="3"/>
      <c r="B345" s="3"/>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6.5" customHeight="1" x14ac:dyDescent="0.2">
      <c r="A346" s="3"/>
      <c r="B346" s="3"/>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6.5" customHeight="1" x14ac:dyDescent="0.2">
      <c r="A347" s="3"/>
      <c r="B347" s="3"/>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6.5" customHeight="1" x14ac:dyDescent="0.2">
      <c r="A348" s="3"/>
      <c r="B348" s="3"/>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6.5" customHeight="1" x14ac:dyDescent="0.2">
      <c r="A349" s="3"/>
      <c r="B349" s="3"/>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6.5" customHeight="1" x14ac:dyDescent="0.2">
      <c r="A350" s="3"/>
      <c r="B350" s="3"/>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6.5" customHeight="1" x14ac:dyDescent="0.2">
      <c r="A351" s="3"/>
      <c r="B351" s="3"/>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6.5" customHeight="1" x14ac:dyDescent="0.2">
      <c r="A352" s="3"/>
      <c r="B352" s="3"/>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6.5" customHeight="1" x14ac:dyDescent="0.2">
      <c r="A353" s="3"/>
      <c r="B353" s="3"/>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6.5" customHeight="1" x14ac:dyDescent="0.2">
      <c r="A354" s="3"/>
      <c r="B354" s="3"/>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6.5" customHeight="1" x14ac:dyDescent="0.2">
      <c r="A355" s="3"/>
      <c r="B355" s="3"/>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6.5" customHeight="1" x14ac:dyDescent="0.2">
      <c r="A356" s="3"/>
      <c r="B356" s="3"/>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6.5" customHeight="1" x14ac:dyDescent="0.2">
      <c r="A357" s="3"/>
      <c r="B357" s="3"/>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6.5" customHeight="1" x14ac:dyDescent="0.2">
      <c r="A358" s="3"/>
      <c r="B358" s="3"/>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6.5" customHeight="1" x14ac:dyDescent="0.2">
      <c r="A359" s="3"/>
      <c r="B359" s="3"/>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6.5" customHeight="1" x14ac:dyDescent="0.2">
      <c r="A360" s="3"/>
      <c r="B360" s="3"/>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6.5" customHeight="1" x14ac:dyDescent="0.2">
      <c r="A361" s="3"/>
      <c r="B361" s="3"/>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6.5" customHeight="1" x14ac:dyDescent="0.2">
      <c r="A362" s="3"/>
      <c r="B362" s="3"/>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6.5" customHeight="1" x14ac:dyDescent="0.2">
      <c r="A363" s="3"/>
      <c r="B363" s="3"/>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6.5" customHeight="1" x14ac:dyDescent="0.2">
      <c r="A364" s="3"/>
      <c r="B364" s="3"/>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6.5" customHeight="1" x14ac:dyDescent="0.2">
      <c r="A365" s="3"/>
      <c r="B365" s="3"/>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6.5" customHeight="1" x14ac:dyDescent="0.2">
      <c r="A366" s="3"/>
      <c r="B366" s="3"/>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6.5" customHeight="1" x14ac:dyDescent="0.2">
      <c r="A367" s="3"/>
      <c r="B367" s="3"/>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6.5" customHeight="1" x14ac:dyDescent="0.2">
      <c r="A368" s="3"/>
      <c r="B368" s="3"/>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6.5" customHeight="1" x14ac:dyDescent="0.2">
      <c r="A369" s="3"/>
      <c r="B369" s="3"/>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6.5" customHeight="1" x14ac:dyDescent="0.2">
      <c r="A370" s="3"/>
      <c r="B370" s="3"/>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6.5" customHeight="1" x14ac:dyDescent="0.2">
      <c r="A371" s="3"/>
      <c r="B371" s="3"/>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6.5" customHeight="1" x14ac:dyDescent="0.2">
      <c r="A372" s="3"/>
      <c r="B372" s="3"/>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6.5" customHeight="1" x14ac:dyDescent="0.2">
      <c r="A373" s="3"/>
      <c r="B373" s="3"/>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6.5" customHeight="1" x14ac:dyDescent="0.2">
      <c r="A374" s="3"/>
      <c r="B374" s="3"/>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6.5" customHeight="1" x14ac:dyDescent="0.2">
      <c r="A375" s="3"/>
      <c r="B375" s="3"/>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6.5" customHeight="1" x14ac:dyDescent="0.2">
      <c r="A376" s="3"/>
      <c r="B376" s="3"/>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6.5" customHeight="1" x14ac:dyDescent="0.2">
      <c r="A377" s="3"/>
      <c r="B377" s="3"/>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6.5" customHeight="1" x14ac:dyDescent="0.2">
      <c r="A378" s="3"/>
      <c r="B378" s="3"/>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6.5" customHeight="1" x14ac:dyDescent="0.2">
      <c r="A379" s="3"/>
      <c r="B379" s="3"/>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6.5" customHeight="1" x14ac:dyDescent="0.2">
      <c r="A380" s="3"/>
      <c r="B380" s="3"/>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6.5" customHeight="1" x14ac:dyDescent="0.2">
      <c r="A381" s="3"/>
      <c r="B381" s="3"/>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6.5" customHeight="1" x14ac:dyDescent="0.2">
      <c r="A382" s="3"/>
      <c r="B382" s="3"/>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6.5" customHeight="1" x14ac:dyDescent="0.2">
      <c r="A383" s="3"/>
      <c r="B383" s="3"/>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6.5" customHeight="1" x14ac:dyDescent="0.2">
      <c r="A384" s="3"/>
      <c r="B384" s="3"/>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6.5" customHeight="1" x14ac:dyDescent="0.2">
      <c r="A385" s="3"/>
      <c r="B385" s="3"/>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6.5" customHeight="1" x14ac:dyDescent="0.2">
      <c r="A386" s="3"/>
      <c r="B386" s="3"/>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6.5" customHeight="1" x14ac:dyDescent="0.2">
      <c r="A387" s="3"/>
      <c r="B387" s="3"/>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6.5" customHeight="1" x14ac:dyDescent="0.2">
      <c r="A388" s="3"/>
      <c r="B388" s="3"/>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6.5" customHeight="1" x14ac:dyDescent="0.2">
      <c r="A389" s="3"/>
      <c r="B389" s="3"/>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6.5" customHeight="1" x14ac:dyDescent="0.2">
      <c r="A390" s="3"/>
      <c r="B390" s="3"/>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6.5" customHeight="1" x14ac:dyDescent="0.2">
      <c r="A391" s="3"/>
      <c r="B391" s="3"/>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6.5" customHeight="1" x14ac:dyDescent="0.2">
      <c r="A392" s="3"/>
      <c r="B392" s="3"/>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6.5" customHeight="1" x14ac:dyDescent="0.2">
      <c r="A393" s="3"/>
      <c r="B393" s="3"/>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6.5" customHeight="1" x14ac:dyDescent="0.2">
      <c r="A394" s="3"/>
      <c r="B394" s="3"/>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6.5" customHeight="1" x14ac:dyDescent="0.2">
      <c r="A395" s="3"/>
      <c r="B395" s="3"/>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6.5" customHeight="1" x14ac:dyDescent="0.2">
      <c r="A396" s="3"/>
      <c r="B396" s="3"/>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6.5" customHeight="1" x14ac:dyDescent="0.2">
      <c r="A397" s="3"/>
      <c r="B397" s="3"/>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6.5" customHeight="1" x14ac:dyDescent="0.2">
      <c r="A398" s="3"/>
      <c r="B398" s="3"/>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6.5" customHeight="1" x14ac:dyDescent="0.2">
      <c r="A399" s="3"/>
      <c r="B399" s="3"/>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6.5" customHeight="1" x14ac:dyDescent="0.2">
      <c r="A400" s="3"/>
      <c r="B400" s="3"/>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6.5" customHeight="1" x14ac:dyDescent="0.2">
      <c r="A401" s="3"/>
      <c r="B401" s="3"/>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6.5" customHeight="1" x14ac:dyDescent="0.2">
      <c r="A402" s="3"/>
      <c r="B402" s="3"/>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6.5" customHeight="1" x14ac:dyDescent="0.2">
      <c r="A403" s="3"/>
      <c r="B403" s="3"/>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6.5" customHeight="1" x14ac:dyDescent="0.2">
      <c r="A404" s="3"/>
      <c r="B404" s="3"/>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6.5" customHeight="1" x14ac:dyDescent="0.2">
      <c r="A405" s="3"/>
      <c r="B405" s="3"/>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6.5" customHeight="1" x14ac:dyDescent="0.2">
      <c r="A406" s="3"/>
      <c r="B406" s="3"/>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6.5" customHeight="1" x14ac:dyDescent="0.2">
      <c r="A407" s="3"/>
      <c r="B407" s="3"/>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6.5" customHeight="1" x14ac:dyDescent="0.2">
      <c r="A408" s="3"/>
      <c r="B408" s="3"/>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6.5" customHeight="1" x14ac:dyDescent="0.2">
      <c r="A409" s="3"/>
      <c r="B409" s="3"/>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6.5" customHeight="1" x14ac:dyDescent="0.2">
      <c r="A410" s="3"/>
      <c r="B410" s="3"/>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6.5" customHeight="1" x14ac:dyDescent="0.2">
      <c r="A411" s="3"/>
      <c r="B411" s="3"/>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6.5" customHeight="1" x14ac:dyDescent="0.2">
      <c r="A412" s="3"/>
      <c r="B412" s="3"/>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6.5" customHeight="1" x14ac:dyDescent="0.2">
      <c r="A413" s="3"/>
      <c r="B413" s="3"/>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6.5" customHeight="1" x14ac:dyDescent="0.2">
      <c r="A414" s="3"/>
      <c r="B414" s="3"/>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6.5" customHeight="1" x14ac:dyDescent="0.2">
      <c r="A415" s="3"/>
      <c r="B415" s="3"/>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6.5" customHeight="1" x14ac:dyDescent="0.2">
      <c r="A416" s="3"/>
      <c r="B416" s="3"/>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6.5" customHeight="1" x14ac:dyDescent="0.2">
      <c r="A417" s="3"/>
      <c r="B417" s="3"/>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6.5" customHeight="1" x14ac:dyDescent="0.2">
      <c r="A418" s="3"/>
      <c r="B418" s="3"/>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6.5" customHeight="1" x14ac:dyDescent="0.2">
      <c r="A419" s="3"/>
      <c r="B419" s="3"/>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6.5" customHeight="1" x14ac:dyDescent="0.2">
      <c r="A420" s="3"/>
      <c r="B420" s="3"/>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6.5" customHeight="1" x14ac:dyDescent="0.2">
      <c r="A421" s="3"/>
      <c r="B421" s="3"/>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6.5" customHeight="1" x14ac:dyDescent="0.2">
      <c r="A422" s="3"/>
      <c r="B422" s="3"/>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6.5" customHeight="1" x14ac:dyDescent="0.2">
      <c r="A423" s="3"/>
      <c r="B423" s="3"/>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6.5" customHeight="1" x14ac:dyDescent="0.2">
      <c r="A424" s="3"/>
      <c r="B424" s="3"/>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6.5" customHeight="1" x14ac:dyDescent="0.2">
      <c r="A425" s="3"/>
      <c r="B425" s="3"/>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6.5" customHeight="1" x14ac:dyDescent="0.2">
      <c r="A426" s="3"/>
      <c r="B426" s="3"/>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6.5" customHeight="1" x14ac:dyDescent="0.2">
      <c r="A427" s="3"/>
      <c r="B427" s="3"/>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6.5" customHeight="1" x14ac:dyDescent="0.2">
      <c r="A428" s="3"/>
      <c r="B428" s="3"/>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6.5" customHeight="1" x14ac:dyDescent="0.2">
      <c r="A429" s="3"/>
      <c r="B429" s="3"/>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6.5" customHeight="1" x14ac:dyDescent="0.2">
      <c r="A430" s="3"/>
      <c r="B430" s="3"/>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6.5" customHeight="1" x14ac:dyDescent="0.2">
      <c r="A431" s="3"/>
      <c r="B431" s="3"/>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6.5" customHeight="1" x14ac:dyDescent="0.2">
      <c r="A432" s="3"/>
      <c r="B432" s="3"/>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6.5" customHeight="1" x14ac:dyDescent="0.2">
      <c r="A433" s="3"/>
      <c r="B433" s="3"/>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6.5" customHeight="1" x14ac:dyDescent="0.2">
      <c r="A434" s="3"/>
      <c r="B434" s="3"/>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6.5" customHeight="1" x14ac:dyDescent="0.2">
      <c r="A435" s="3"/>
      <c r="B435" s="3"/>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6.5" customHeight="1" x14ac:dyDescent="0.2">
      <c r="A436" s="3"/>
      <c r="B436" s="3"/>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6.5" customHeight="1" x14ac:dyDescent="0.2">
      <c r="A437" s="3"/>
      <c r="B437" s="3"/>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6.5" customHeight="1" x14ac:dyDescent="0.2">
      <c r="A438" s="3"/>
      <c r="B438" s="3"/>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6.5" customHeight="1" x14ac:dyDescent="0.2">
      <c r="A439" s="3"/>
      <c r="B439" s="3"/>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6.5" customHeight="1" x14ac:dyDescent="0.2">
      <c r="A440" s="3"/>
      <c r="B440" s="3"/>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6.5" customHeight="1" x14ac:dyDescent="0.2">
      <c r="A441" s="3"/>
      <c r="B441" s="3"/>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6.5" customHeight="1" x14ac:dyDescent="0.2">
      <c r="A442" s="3"/>
      <c r="B442" s="3"/>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6.5" customHeight="1" x14ac:dyDescent="0.2">
      <c r="A443" s="3"/>
      <c r="B443" s="3"/>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6.5" customHeight="1" x14ac:dyDescent="0.2">
      <c r="A444" s="3"/>
      <c r="B444" s="3"/>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6.5" customHeight="1" x14ac:dyDescent="0.2">
      <c r="A445" s="3"/>
      <c r="B445" s="3"/>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6.5" customHeight="1" x14ac:dyDescent="0.2">
      <c r="A446" s="3"/>
      <c r="B446" s="3"/>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6.5" customHeight="1" x14ac:dyDescent="0.2">
      <c r="A447" s="3"/>
      <c r="B447" s="3"/>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6.5" customHeight="1" x14ac:dyDescent="0.2">
      <c r="A448" s="3"/>
      <c r="B448" s="3"/>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6.5" customHeight="1" x14ac:dyDescent="0.2">
      <c r="A449" s="3"/>
      <c r="B449" s="3"/>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6.5" customHeight="1" x14ac:dyDescent="0.2">
      <c r="A450" s="3"/>
      <c r="B450" s="3"/>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6.5" customHeight="1" x14ac:dyDescent="0.2">
      <c r="A451" s="3"/>
      <c r="B451" s="3"/>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6.5" customHeight="1" x14ac:dyDescent="0.2">
      <c r="A452" s="3"/>
      <c r="B452" s="3"/>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6.5" customHeight="1" x14ac:dyDescent="0.2">
      <c r="A453" s="3"/>
      <c r="B453" s="3"/>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6.5" customHeight="1" x14ac:dyDescent="0.2">
      <c r="A454" s="3"/>
      <c r="B454" s="3"/>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6.5" customHeight="1" x14ac:dyDescent="0.2">
      <c r="A455" s="3"/>
      <c r="B455" s="3"/>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6.5" customHeight="1" x14ac:dyDescent="0.2">
      <c r="A456" s="3"/>
      <c r="B456" s="3"/>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6.5" customHeight="1" x14ac:dyDescent="0.2">
      <c r="A457" s="3"/>
      <c r="B457" s="3"/>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6.5" customHeight="1" x14ac:dyDescent="0.2">
      <c r="A458" s="3"/>
      <c r="B458" s="3"/>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6.5" customHeight="1" x14ac:dyDescent="0.2">
      <c r="A459" s="3"/>
      <c r="B459" s="3"/>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6.5" customHeight="1" x14ac:dyDescent="0.2">
      <c r="A460" s="3"/>
      <c r="B460" s="3"/>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6.5" customHeight="1" x14ac:dyDescent="0.2">
      <c r="A461" s="3"/>
      <c r="B461" s="3"/>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6.5" customHeight="1" x14ac:dyDescent="0.2">
      <c r="A462" s="3"/>
      <c r="B462" s="3"/>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6.5" customHeight="1" x14ac:dyDescent="0.2">
      <c r="A463" s="3"/>
      <c r="B463" s="3"/>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6.5" customHeight="1" x14ac:dyDescent="0.2">
      <c r="A464" s="3"/>
      <c r="B464" s="3"/>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6.5" customHeight="1" x14ac:dyDescent="0.2">
      <c r="A465" s="3"/>
      <c r="B465" s="3"/>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6.5" customHeight="1" x14ac:dyDescent="0.2">
      <c r="A466" s="3"/>
      <c r="B466" s="3"/>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6.5" customHeight="1" x14ac:dyDescent="0.2">
      <c r="A467" s="3"/>
      <c r="B467" s="3"/>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6.5" customHeight="1" x14ac:dyDescent="0.2">
      <c r="A468" s="3"/>
      <c r="B468" s="3"/>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6.5" customHeight="1" x14ac:dyDescent="0.2">
      <c r="A469" s="3"/>
      <c r="B469" s="3"/>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6.5" customHeight="1" x14ac:dyDescent="0.2">
      <c r="A470" s="3"/>
      <c r="B470" s="3"/>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6.5" customHeight="1" x14ac:dyDescent="0.2">
      <c r="A471" s="3"/>
      <c r="B471" s="3"/>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6.5" customHeight="1" x14ac:dyDescent="0.2">
      <c r="A472" s="3"/>
      <c r="B472" s="3"/>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6.5" customHeight="1" x14ac:dyDescent="0.2">
      <c r="A473" s="3"/>
      <c r="B473" s="3"/>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6.5" customHeight="1" x14ac:dyDescent="0.2">
      <c r="A474" s="3"/>
      <c r="B474" s="3"/>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6.5" customHeight="1" x14ac:dyDescent="0.2">
      <c r="A475" s="3"/>
      <c r="B475" s="3"/>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6.5" customHeight="1" x14ac:dyDescent="0.2">
      <c r="A476" s="3"/>
      <c r="B476" s="3"/>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6.5" customHeight="1" x14ac:dyDescent="0.2">
      <c r="A477" s="3"/>
      <c r="B477" s="3"/>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6.5" customHeight="1" x14ac:dyDescent="0.2">
      <c r="A478" s="3"/>
      <c r="B478" s="3"/>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6.5" customHeight="1" x14ac:dyDescent="0.2">
      <c r="A479" s="3"/>
      <c r="B479" s="3"/>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6.5" customHeight="1" x14ac:dyDescent="0.2">
      <c r="A480" s="3"/>
      <c r="B480" s="3"/>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6.5" customHeight="1" x14ac:dyDescent="0.2">
      <c r="A481" s="3"/>
      <c r="B481" s="3"/>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6.5" customHeight="1" x14ac:dyDescent="0.2">
      <c r="A482" s="3"/>
      <c r="B482" s="3"/>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6.5" customHeight="1" x14ac:dyDescent="0.2">
      <c r="A483" s="3"/>
      <c r="B483" s="3"/>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6.5" customHeight="1" x14ac:dyDescent="0.2">
      <c r="A484" s="3"/>
      <c r="B484" s="3"/>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6.5" customHeight="1" x14ac:dyDescent="0.2">
      <c r="A485" s="3"/>
      <c r="B485" s="3"/>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6.5" customHeight="1" x14ac:dyDescent="0.2">
      <c r="A486" s="3"/>
      <c r="B486" s="3"/>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6.5" customHeight="1" x14ac:dyDescent="0.2">
      <c r="A487" s="3"/>
      <c r="B487" s="3"/>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6.5" customHeight="1" x14ac:dyDescent="0.2">
      <c r="A488" s="3"/>
      <c r="B488" s="3"/>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6.5" customHeight="1" x14ac:dyDescent="0.2">
      <c r="A489" s="3"/>
      <c r="B489" s="3"/>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6.5" customHeight="1" x14ac:dyDescent="0.2">
      <c r="A490" s="3"/>
      <c r="B490" s="3"/>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6.5" customHeight="1" x14ac:dyDescent="0.2">
      <c r="A491" s="3"/>
      <c r="B491" s="3"/>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6.5" customHeight="1" x14ac:dyDescent="0.2">
      <c r="A492" s="3"/>
      <c r="B492" s="3"/>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6.5" customHeight="1" x14ac:dyDescent="0.2">
      <c r="A493" s="3"/>
      <c r="B493" s="3"/>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6.5" customHeight="1" x14ac:dyDescent="0.2">
      <c r="A494" s="3"/>
      <c r="B494" s="3"/>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6.5" customHeight="1" x14ac:dyDescent="0.2">
      <c r="A495" s="3"/>
      <c r="B495" s="3"/>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6.5" customHeight="1" x14ac:dyDescent="0.2">
      <c r="A496" s="3"/>
      <c r="B496" s="3"/>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6.5" customHeight="1" x14ac:dyDescent="0.2">
      <c r="A497" s="3"/>
      <c r="B497" s="3"/>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6.5" customHeight="1" x14ac:dyDescent="0.2">
      <c r="A498" s="3"/>
      <c r="B498" s="3"/>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6.5" customHeight="1" x14ac:dyDescent="0.2">
      <c r="A499" s="3"/>
      <c r="B499" s="3"/>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6.5" customHeight="1" x14ac:dyDescent="0.2">
      <c r="A500" s="3"/>
      <c r="B500" s="3"/>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6.5" customHeight="1" x14ac:dyDescent="0.2">
      <c r="A501" s="3"/>
      <c r="B501" s="3"/>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6.5" customHeight="1" x14ac:dyDescent="0.2">
      <c r="A502" s="3"/>
      <c r="B502" s="3"/>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6.5" customHeight="1" x14ac:dyDescent="0.2">
      <c r="A503" s="3"/>
      <c r="B503" s="3"/>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6.5" customHeight="1" x14ac:dyDescent="0.2">
      <c r="A504" s="3"/>
      <c r="B504" s="3"/>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6.5" customHeight="1" x14ac:dyDescent="0.2">
      <c r="A505" s="3"/>
      <c r="B505" s="3"/>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6.5" customHeight="1" x14ac:dyDescent="0.2">
      <c r="A506" s="3"/>
      <c r="B506" s="3"/>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6.5" customHeight="1" x14ac:dyDescent="0.2">
      <c r="A507" s="3"/>
      <c r="B507" s="3"/>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6.5" customHeight="1" x14ac:dyDescent="0.2">
      <c r="A508" s="3"/>
      <c r="B508" s="3"/>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6.5" customHeight="1" x14ac:dyDescent="0.2">
      <c r="A509" s="3"/>
      <c r="B509" s="3"/>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6.5" customHeight="1" x14ac:dyDescent="0.2">
      <c r="A510" s="3"/>
      <c r="B510" s="3"/>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6.5" customHeight="1" x14ac:dyDescent="0.2">
      <c r="A511" s="3"/>
      <c r="B511" s="3"/>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6.5" customHeight="1" x14ac:dyDescent="0.2">
      <c r="A512" s="3"/>
      <c r="B512" s="3"/>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6.5" customHeight="1" x14ac:dyDescent="0.2">
      <c r="A513" s="3"/>
      <c r="B513" s="3"/>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6.5" customHeight="1" x14ac:dyDescent="0.2">
      <c r="A514" s="3"/>
      <c r="B514" s="3"/>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6.5" customHeight="1" x14ac:dyDescent="0.2">
      <c r="A515" s="3"/>
      <c r="B515" s="3"/>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6.5" customHeight="1" x14ac:dyDescent="0.2">
      <c r="A516" s="3"/>
      <c r="B516" s="3"/>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6.5" customHeight="1" x14ac:dyDescent="0.2">
      <c r="A517" s="3"/>
      <c r="B517" s="3"/>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6.5" customHeight="1" x14ac:dyDescent="0.2">
      <c r="A518" s="3"/>
      <c r="B518" s="3"/>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6.5" customHeight="1" x14ac:dyDescent="0.2">
      <c r="A519" s="3"/>
      <c r="B519" s="3"/>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6.5" customHeight="1" x14ac:dyDescent="0.2">
      <c r="A520" s="3"/>
      <c r="B520" s="3"/>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6.5" customHeight="1" x14ac:dyDescent="0.2">
      <c r="A521" s="3"/>
      <c r="B521" s="3"/>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6.5" customHeight="1" x14ac:dyDescent="0.2">
      <c r="A522" s="3"/>
      <c r="B522" s="3"/>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6.5" customHeight="1" x14ac:dyDescent="0.2">
      <c r="A523" s="3"/>
      <c r="B523" s="3"/>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6.5" customHeight="1" x14ac:dyDescent="0.2">
      <c r="A524" s="3"/>
      <c r="B524" s="3"/>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6.5" customHeight="1" x14ac:dyDescent="0.2">
      <c r="A525" s="3"/>
      <c r="B525" s="3"/>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6.5" customHeight="1" x14ac:dyDescent="0.2">
      <c r="A526" s="3"/>
      <c r="B526" s="3"/>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6.5" customHeight="1" x14ac:dyDescent="0.2">
      <c r="A527" s="3"/>
      <c r="B527" s="3"/>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6.5" customHeight="1" x14ac:dyDescent="0.2">
      <c r="A528" s="3"/>
      <c r="B528" s="3"/>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6.5" customHeight="1" x14ac:dyDescent="0.2">
      <c r="A529" s="3"/>
      <c r="B529" s="3"/>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6.5" customHeight="1" x14ac:dyDescent="0.2">
      <c r="A530" s="3"/>
      <c r="B530" s="3"/>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6.5" customHeight="1" x14ac:dyDescent="0.2">
      <c r="A531" s="3"/>
      <c r="B531" s="3"/>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6.5" customHeight="1" x14ac:dyDescent="0.2">
      <c r="A532" s="3"/>
      <c r="B532" s="3"/>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6.5" customHeight="1" x14ac:dyDescent="0.2">
      <c r="A533" s="3"/>
      <c r="B533" s="3"/>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6.5" customHeight="1" x14ac:dyDescent="0.2">
      <c r="A534" s="3"/>
      <c r="B534" s="3"/>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6.5" customHeight="1" x14ac:dyDescent="0.2">
      <c r="A535" s="3"/>
      <c r="B535" s="3"/>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6.5" customHeight="1" x14ac:dyDescent="0.2">
      <c r="A536" s="3"/>
      <c r="B536" s="3"/>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6.5" customHeight="1" x14ac:dyDescent="0.2">
      <c r="A537" s="3"/>
      <c r="B537" s="3"/>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6.5" customHeight="1" x14ac:dyDescent="0.2">
      <c r="A538" s="3"/>
      <c r="B538" s="3"/>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6.5" customHeight="1" x14ac:dyDescent="0.2">
      <c r="A539" s="3"/>
      <c r="B539" s="3"/>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6.5" customHeight="1" x14ac:dyDescent="0.2">
      <c r="A540" s="3"/>
      <c r="B540" s="3"/>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6.5" customHeight="1" x14ac:dyDescent="0.2">
      <c r="A541" s="3"/>
      <c r="B541" s="3"/>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6.5" customHeight="1" x14ac:dyDescent="0.2">
      <c r="A542" s="3"/>
      <c r="B542" s="3"/>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6.5" customHeight="1" x14ac:dyDescent="0.2">
      <c r="A543" s="3"/>
      <c r="B543" s="3"/>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6.5" customHeight="1" x14ac:dyDescent="0.2">
      <c r="A544" s="3"/>
      <c r="B544" s="3"/>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6.5" customHeight="1" x14ac:dyDescent="0.2">
      <c r="A545" s="3"/>
      <c r="B545" s="3"/>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6.5" customHeight="1" x14ac:dyDescent="0.2">
      <c r="A546" s="3"/>
      <c r="B546" s="3"/>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6.5" customHeight="1" x14ac:dyDescent="0.2">
      <c r="A547" s="3"/>
      <c r="B547" s="3"/>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6.5" customHeight="1" x14ac:dyDescent="0.2">
      <c r="A548" s="3"/>
      <c r="B548" s="3"/>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6.5" customHeight="1" x14ac:dyDescent="0.2">
      <c r="A549" s="3"/>
      <c r="B549" s="3"/>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6.5" customHeight="1" x14ac:dyDescent="0.2">
      <c r="A550" s="3"/>
      <c r="B550" s="3"/>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6.5" customHeight="1" x14ac:dyDescent="0.2">
      <c r="A551" s="3"/>
      <c r="B551" s="3"/>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6.5" customHeight="1" x14ac:dyDescent="0.2">
      <c r="A552" s="3"/>
      <c r="B552" s="3"/>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6.5" customHeight="1" x14ac:dyDescent="0.2">
      <c r="A553" s="3"/>
      <c r="B553" s="3"/>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6.5" customHeight="1" x14ac:dyDescent="0.2">
      <c r="A554" s="3"/>
      <c r="B554" s="3"/>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6.5" customHeight="1" x14ac:dyDescent="0.2">
      <c r="A555" s="3"/>
      <c r="B555" s="3"/>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6.5" customHeight="1" x14ac:dyDescent="0.2">
      <c r="A556" s="3"/>
      <c r="B556" s="3"/>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6.5" customHeight="1" x14ac:dyDescent="0.2">
      <c r="A557" s="3"/>
      <c r="B557" s="3"/>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6.5" customHeight="1" x14ac:dyDescent="0.2">
      <c r="A558" s="3"/>
      <c r="B558" s="3"/>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6.5" customHeight="1" x14ac:dyDescent="0.2">
      <c r="A559" s="3"/>
      <c r="B559" s="3"/>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6.5" customHeight="1" x14ac:dyDescent="0.2">
      <c r="A560" s="3"/>
      <c r="B560" s="3"/>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6.5" customHeight="1" x14ac:dyDescent="0.2">
      <c r="A561" s="3"/>
      <c r="B561" s="3"/>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6.5" customHeight="1" x14ac:dyDescent="0.2">
      <c r="A562" s="3"/>
      <c r="B562" s="3"/>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6.5" customHeight="1" x14ac:dyDescent="0.2">
      <c r="A563" s="3"/>
      <c r="B563" s="3"/>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6.5" customHeight="1" x14ac:dyDescent="0.2">
      <c r="A564" s="3"/>
      <c r="B564" s="3"/>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6.5" customHeight="1" x14ac:dyDescent="0.2">
      <c r="A565" s="3"/>
      <c r="B565" s="3"/>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6.5" customHeight="1" x14ac:dyDescent="0.2">
      <c r="A566" s="3"/>
      <c r="B566" s="3"/>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6.5" customHeight="1" x14ac:dyDescent="0.2">
      <c r="A567" s="3"/>
      <c r="B567" s="3"/>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6.5" customHeight="1" x14ac:dyDescent="0.2">
      <c r="A568" s="3"/>
      <c r="B568" s="3"/>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6.5" customHeight="1" x14ac:dyDescent="0.2">
      <c r="A569" s="3"/>
      <c r="B569" s="3"/>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6.5" customHeight="1" x14ac:dyDescent="0.2">
      <c r="A570" s="3"/>
      <c r="B570" s="3"/>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6.5" customHeight="1" x14ac:dyDescent="0.2">
      <c r="A571" s="3"/>
      <c r="B571" s="3"/>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6.5" customHeight="1" x14ac:dyDescent="0.2">
      <c r="A572" s="3"/>
      <c r="B572" s="3"/>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6.5" customHeight="1" x14ac:dyDescent="0.2">
      <c r="A573" s="3"/>
      <c r="B573" s="3"/>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6.5" customHeight="1" x14ac:dyDescent="0.2">
      <c r="A574" s="3"/>
      <c r="B574" s="3"/>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6.5" customHeight="1" x14ac:dyDescent="0.2">
      <c r="A575" s="3"/>
      <c r="B575" s="3"/>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6.5" customHeight="1" x14ac:dyDescent="0.2">
      <c r="A576" s="3"/>
      <c r="B576" s="3"/>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6.5" customHeight="1" x14ac:dyDescent="0.2">
      <c r="A577" s="3"/>
      <c r="B577" s="3"/>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6.5" customHeight="1" x14ac:dyDescent="0.2">
      <c r="A578" s="3"/>
      <c r="B578" s="3"/>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6.5" customHeight="1" x14ac:dyDescent="0.2">
      <c r="A579" s="3"/>
      <c r="B579" s="3"/>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6.5" customHeight="1" x14ac:dyDescent="0.2">
      <c r="A580" s="3"/>
      <c r="B580" s="3"/>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6.5" customHeight="1" x14ac:dyDescent="0.2">
      <c r="A581" s="3"/>
      <c r="B581" s="3"/>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6.5" customHeight="1" x14ac:dyDescent="0.2">
      <c r="A582" s="3"/>
      <c r="B582" s="3"/>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6.5" customHeight="1" x14ac:dyDescent="0.2">
      <c r="A583" s="3"/>
      <c r="B583" s="3"/>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6.5" customHeight="1" x14ac:dyDescent="0.2">
      <c r="A584" s="3"/>
      <c r="B584" s="3"/>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6.5" customHeight="1" x14ac:dyDescent="0.2">
      <c r="A585" s="3"/>
      <c r="B585" s="3"/>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6.5" customHeight="1" x14ac:dyDescent="0.2">
      <c r="A586" s="3"/>
      <c r="B586" s="3"/>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6.5" customHeight="1" x14ac:dyDescent="0.2">
      <c r="A587" s="3"/>
      <c r="B587" s="3"/>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6.5" customHeight="1" x14ac:dyDescent="0.2">
      <c r="A588" s="3"/>
      <c r="B588" s="3"/>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6.5" customHeight="1" x14ac:dyDescent="0.2">
      <c r="A589" s="3"/>
      <c r="B589" s="3"/>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6.5" customHeight="1" x14ac:dyDescent="0.2">
      <c r="A590" s="3"/>
      <c r="B590" s="3"/>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6.5" customHeight="1" x14ac:dyDescent="0.2">
      <c r="A591" s="3"/>
      <c r="B591" s="3"/>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6.5" customHeight="1" x14ac:dyDescent="0.2">
      <c r="A592" s="3"/>
      <c r="B592" s="3"/>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6.5" customHeight="1" x14ac:dyDescent="0.2">
      <c r="A593" s="3"/>
      <c r="B593" s="3"/>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6.5" customHeight="1" x14ac:dyDescent="0.2">
      <c r="A594" s="3"/>
      <c r="B594" s="3"/>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6.5" customHeight="1" x14ac:dyDescent="0.2">
      <c r="A595" s="3"/>
      <c r="B595" s="3"/>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6.5" customHeight="1" x14ac:dyDescent="0.2">
      <c r="A596" s="3"/>
      <c r="B596" s="3"/>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6.5" customHeight="1" x14ac:dyDescent="0.2">
      <c r="A597" s="3"/>
      <c r="B597" s="3"/>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6.5" customHeight="1" x14ac:dyDescent="0.2">
      <c r="A598" s="3"/>
      <c r="B598" s="3"/>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6.5" customHeight="1" x14ac:dyDescent="0.2">
      <c r="A599" s="3"/>
      <c r="B599" s="3"/>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6.5" customHeight="1" x14ac:dyDescent="0.2">
      <c r="A600" s="3"/>
      <c r="B600" s="3"/>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6.5" customHeight="1" x14ac:dyDescent="0.2">
      <c r="A601" s="3"/>
      <c r="B601" s="3"/>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6.5" customHeight="1" x14ac:dyDescent="0.2">
      <c r="A602" s="3"/>
      <c r="B602" s="3"/>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6.5" customHeight="1" x14ac:dyDescent="0.2">
      <c r="A603" s="3"/>
      <c r="B603" s="3"/>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6.5" customHeight="1" x14ac:dyDescent="0.2">
      <c r="A604" s="3"/>
      <c r="B604" s="3"/>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6.5" customHeight="1" x14ac:dyDescent="0.2">
      <c r="A605" s="3"/>
      <c r="B605" s="3"/>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6.5" customHeight="1" x14ac:dyDescent="0.2">
      <c r="A606" s="3"/>
      <c r="B606" s="3"/>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6.5" customHeight="1" x14ac:dyDescent="0.2">
      <c r="A607" s="3"/>
      <c r="B607" s="3"/>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6.5" customHeight="1" x14ac:dyDescent="0.2">
      <c r="A608" s="3"/>
      <c r="B608" s="3"/>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6.5" customHeight="1" x14ac:dyDescent="0.2">
      <c r="A609" s="3"/>
      <c r="B609" s="3"/>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6.5" customHeight="1" x14ac:dyDescent="0.2">
      <c r="A610" s="3"/>
      <c r="B610" s="3"/>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6.5" customHeight="1" x14ac:dyDescent="0.2">
      <c r="A611" s="3"/>
      <c r="B611" s="3"/>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6.5" customHeight="1" x14ac:dyDescent="0.2">
      <c r="A612" s="3"/>
      <c r="B612" s="3"/>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6.5" customHeight="1" x14ac:dyDescent="0.2">
      <c r="A613" s="3"/>
      <c r="B613" s="3"/>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6.5" customHeight="1" x14ac:dyDescent="0.2">
      <c r="A614" s="3"/>
      <c r="B614" s="3"/>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6.5" customHeight="1" x14ac:dyDescent="0.2">
      <c r="A615" s="3"/>
      <c r="B615" s="3"/>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6.5" customHeight="1" x14ac:dyDescent="0.2">
      <c r="A616" s="3"/>
      <c r="B616" s="3"/>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6.5" customHeight="1" x14ac:dyDescent="0.2">
      <c r="A617" s="3"/>
      <c r="B617" s="3"/>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6.5" customHeight="1" x14ac:dyDescent="0.2">
      <c r="A618" s="3"/>
      <c r="B618" s="3"/>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6.5" customHeight="1" x14ac:dyDescent="0.2">
      <c r="A619" s="3"/>
      <c r="B619" s="3"/>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6.5" customHeight="1" x14ac:dyDescent="0.2">
      <c r="A620" s="3"/>
      <c r="B620" s="3"/>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6.5" customHeight="1" x14ac:dyDescent="0.2">
      <c r="A621" s="3"/>
      <c r="B621" s="3"/>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6.5" customHeight="1" x14ac:dyDescent="0.2">
      <c r="A622" s="3"/>
      <c r="B622" s="3"/>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6.5" customHeight="1" x14ac:dyDescent="0.2">
      <c r="A623" s="3"/>
      <c r="B623" s="3"/>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6.5" customHeight="1" x14ac:dyDescent="0.2">
      <c r="A624" s="3"/>
      <c r="B624" s="3"/>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6.5" customHeight="1" x14ac:dyDescent="0.2">
      <c r="A625" s="3"/>
      <c r="B625" s="3"/>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6.5" customHeight="1" x14ac:dyDescent="0.2">
      <c r="A626" s="3"/>
      <c r="B626" s="3"/>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6.5" customHeight="1" x14ac:dyDescent="0.2">
      <c r="A627" s="3"/>
      <c r="B627" s="3"/>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6.5" customHeight="1" x14ac:dyDescent="0.2">
      <c r="A628" s="3"/>
      <c r="B628" s="3"/>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6.5" customHeight="1" x14ac:dyDescent="0.2">
      <c r="A629" s="3"/>
      <c r="B629" s="3"/>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6.5" customHeight="1" x14ac:dyDescent="0.2">
      <c r="A630" s="3"/>
      <c r="B630" s="3"/>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6.5" customHeight="1" x14ac:dyDescent="0.2">
      <c r="A631" s="3"/>
      <c r="B631" s="3"/>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6.5" customHeight="1" x14ac:dyDescent="0.2">
      <c r="A632" s="3"/>
      <c r="B632" s="3"/>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6.5" customHeight="1" x14ac:dyDescent="0.2">
      <c r="A633" s="3"/>
      <c r="B633" s="3"/>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6.5" customHeight="1" x14ac:dyDescent="0.2">
      <c r="A634" s="3"/>
      <c r="B634" s="3"/>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6.5" customHeight="1" x14ac:dyDescent="0.2">
      <c r="A635" s="3"/>
      <c r="B635" s="3"/>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6.5" customHeight="1" x14ac:dyDescent="0.2">
      <c r="A636" s="3"/>
      <c r="B636" s="3"/>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6.5" customHeight="1" x14ac:dyDescent="0.2">
      <c r="A637" s="3"/>
      <c r="B637" s="3"/>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6.5" customHeight="1" x14ac:dyDescent="0.2">
      <c r="A638" s="3"/>
      <c r="B638" s="3"/>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6.5" customHeight="1" x14ac:dyDescent="0.2">
      <c r="A639" s="3"/>
      <c r="B639" s="3"/>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6.5" customHeight="1" x14ac:dyDescent="0.2">
      <c r="A640" s="3"/>
      <c r="B640" s="3"/>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6.5" customHeight="1" x14ac:dyDescent="0.2">
      <c r="A641" s="3"/>
      <c r="B641" s="3"/>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6.5" customHeight="1" x14ac:dyDescent="0.2">
      <c r="A642" s="3"/>
      <c r="B642" s="3"/>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6.5" customHeight="1" x14ac:dyDescent="0.2">
      <c r="A643" s="3"/>
      <c r="B643" s="3"/>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6.5" customHeight="1" x14ac:dyDescent="0.2">
      <c r="A644" s="3"/>
      <c r="B644" s="3"/>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6.5" customHeight="1" x14ac:dyDescent="0.2">
      <c r="A645" s="3"/>
      <c r="B645" s="3"/>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6.5" customHeight="1" x14ac:dyDescent="0.2">
      <c r="A646" s="3"/>
      <c r="B646" s="3"/>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6.5" customHeight="1" x14ac:dyDescent="0.2">
      <c r="A647" s="3"/>
      <c r="B647" s="3"/>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6.5" customHeight="1" x14ac:dyDescent="0.2">
      <c r="A648" s="3"/>
      <c r="B648" s="3"/>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6.5" customHeight="1" x14ac:dyDescent="0.2">
      <c r="A649" s="3"/>
      <c r="B649" s="3"/>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6.5" customHeight="1" x14ac:dyDescent="0.2">
      <c r="A650" s="3"/>
      <c r="B650" s="3"/>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6.5" customHeight="1" x14ac:dyDescent="0.2">
      <c r="A651" s="3"/>
      <c r="B651" s="3"/>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6.5" customHeight="1" x14ac:dyDescent="0.2">
      <c r="A652" s="3"/>
      <c r="B652" s="3"/>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6.5" customHeight="1" x14ac:dyDescent="0.2">
      <c r="A653" s="3"/>
      <c r="B653" s="3"/>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6.5" customHeight="1" x14ac:dyDescent="0.2">
      <c r="A654" s="3"/>
      <c r="B654" s="3"/>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6.5" customHeight="1" x14ac:dyDescent="0.2">
      <c r="A655" s="3"/>
      <c r="B655" s="3"/>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6.5" customHeight="1" x14ac:dyDescent="0.2">
      <c r="A656" s="3"/>
      <c r="B656" s="3"/>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6.5" customHeight="1" x14ac:dyDescent="0.2">
      <c r="A657" s="3"/>
      <c r="B657" s="3"/>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6.5" customHeight="1" x14ac:dyDescent="0.2">
      <c r="A658" s="3"/>
      <c r="B658" s="3"/>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6.5" customHeight="1" x14ac:dyDescent="0.2">
      <c r="A659" s="3"/>
      <c r="B659" s="3"/>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6.5" customHeight="1" x14ac:dyDescent="0.2">
      <c r="A660" s="3"/>
      <c r="B660" s="3"/>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6.5" customHeight="1" x14ac:dyDescent="0.2">
      <c r="A661" s="3"/>
      <c r="B661" s="3"/>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6.5" customHeight="1" x14ac:dyDescent="0.2">
      <c r="A662" s="3"/>
      <c r="B662" s="3"/>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6.5" customHeight="1" x14ac:dyDescent="0.2">
      <c r="A663" s="3"/>
      <c r="B663" s="3"/>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6.5" customHeight="1" x14ac:dyDescent="0.2">
      <c r="A664" s="3"/>
      <c r="B664" s="3"/>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6.5" customHeight="1" x14ac:dyDescent="0.2">
      <c r="A665" s="3"/>
      <c r="B665" s="3"/>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6.5" customHeight="1" x14ac:dyDescent="0.2">
      <c r="A666" s="3"/>
      <c r="B666" s="3"/>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6.5" customHeight="1" x14ac:dyDescent="0.2">
      <c r="A667" s="3"/>
      <c r="B667" s="3"/>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6.5" customHeight="1" x14ac:dyDescent="0.2">
      <c r="A668" s="3"/>
      <c r="B668" s="3"/>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6.5" customHeight="1" x14ac:dyDescent="0.2">
      <c r="A669" s="3"/>
      <c r="B669" s="3"/>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6.5" customHeight="1" x14ac:dyDescent="0.2">
      <c r="A670" s="3"/>
      <c r="B670" s="3"/>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6.5" customHeight="1" x14ac:dyDescent="0.2">
      <c r="A671" s="3"/>
      <c r="B671" s="3"/>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6.5" customHeight="1" x14ac:dyDescent="0.2">
      <c r="A672" s="3"/>
      <c r="B672" s="3"/>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6.5" customHeight="1" x14ac:dyDescent="0.2">
      <c r="A673" s="3"/>
      <c r="B673" s="3"/>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6.5" customHeight="1" x14ac:dyDescent="0.2">
      <c r="A674" s="3"/>
      <c r="B674" s="3"/>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6.5" customHeight="1" x14ac:dyDescent="0.2">
      <c r="A675" s="3"/>
      <c r="B675" s="3"/>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6.5" customHeight="1" x14ac:dyDescent="0.2">
      <c r="A676" s="3"/>
      <c r="B676" s="3"/>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6.5" customHeight="1" x14ac:dyDescent="0.2">
      <c r="A677" s="3"/>
      <c r="B677" s="3"/>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6.5" customHeight="1" x14ac:dyDescent="0.2">
      <c r="A678" s="3"/>
      <c r="B678" s="3"/>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6.5" customHeight="1" x14ac:dyDescent="0.2">
      <c r="A679" s="3"/>
      <c r="B679" s="3"/>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6.5" customHeight="1" x14ac:dyDescent="0.2">
      <c r="A680" s="3"/>
      <c r="B680" s="3"/>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6.5" customHeight="1" x14ac:dyDescent="0.2">
      <c r="A681" s="3"/>
      <c r="B681" s="3"/>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6.5" customHeight="1" x14ac:dyDescent="0.2">
      <c r="A682" s="3"/>
      <c r="B682" s="3"/>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6.5" customHeight="1" x14ac:dyDescent="0.2">
      <c r="A683" s="3"/>
      <c r="B683" s="3"/>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6.5" customHeight="1" x14ac:dyDescent="0.2">
      <c r="A684" s="3"/>
      <c r="B684" s="3"/>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6.5" customHeight="1" x14ac:dyDescent="0.2">
      <c r="A685" s="3"/>
      <c r="B685" s="3"/>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6.5" customHeight="1" x14ac:dyDescent="0.2">
      <c r="A686" s="3"/>
      <c r="B686" s="3"/>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6.5" customHeight="1" x14ac:dyDescent="0.2">
      <c r="A687" s="3"/>
      <c r="B687" s="3"/>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6.5" customHeight="1" x14ac:dyDescent="0.2">
      <c r="A688" s="3"/>
      <c r="B688" s="3"/>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6.5" customHeight="1" x14ac:dyDescent="0.2">
      <c r="A689" s="3"/>
      <c r="B689" s="3"/>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6.5" customHeight="1" x14ac:dyDescent="0.2">
      <c r="A690" s="3"/>
      <c r="B690" s="3"/>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6.5" customHeight="1" x14ac:dyDescent="0.2">
      <c r="A691" s="3"/>
      <c r="B691" s="3"/>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6.5" customHeight="1" x14ac:dyDescent="0.2">
      <c r="A692" s="3"/>
      <c r="B692" s="3"/>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6.5" customHeight="1" x14ac:dyDescent="0.2">
      <c r="A693" s="3"/>
      <c r="B693" s="3"/>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6.5" customHeight="1" x14ac:dyDescent="0.2">
      <c r="A694" s="3"/>
      <c r="B694" s="3"/>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6.5" customHeight="1" x14ac:dyDescent="0.2">
      <c r="A695" s="3"/>
      <c r="B695" s="3"/>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6.5" customHeight="1" x14ac:dyDescent="0.2">
      <c r="A696" s="3"/>
      <c r="B696" s="3"/>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6.5" customHeight="1" x14ac:dyDescent="0.2">
      <c r="A697" s="3"/>
      <c r="B697" s="3"/>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6.5" customHeight="1" x14ac:dyDescent="0.2">
      <c r="A698" s="3"/>
      <c r="B698" s="3"/>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6.5" customHeight="1" x14ac:dyDescent="0.2">
      <c r="A699" s="3"/>
      <c r="B699" s="3"/>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6.5" customHeight="1" x14ac:dyDescent="0.2">
      <c r="A700" s="3"/>
      <c r="B700" s="3"/>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6.5" customHeight="1" x14ac:dyDescent="0.2">
      <c r="A701" s="3"/>
      <c r="B701" s="3"/>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6.5" customHeight="1" x14ac:dyDescent="0.2">
      <c r="A702" s="3"/>
      <c r="B702" s="3"/>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6.5" customHeight="1" x14ac:dyDescent="0.2">
      <c r="A703" s="3"/>
      <c r="B703" s="3"/>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6.5" customHeight="1" x14ac:dyDescent="0.2">
      <c r="A704" s="3"/>
      <c r="B704" s="3"/>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6.5" customHeight="1" x14ac:dyDescent="0.2">
      <c r="A705" s="3"/>
      <c r="B705" s="3"/>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6.5" customHeight="1" x14ac:dyDescent="0.2">
      <c r="A706" s="3"/>
      <c r="B706" s="3"/>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6.5" customHeight="1" x14ac:dyDescent="0.2">
      <c r="A707" s="3"/>
      <c r="B707" s="3"/>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6.5" customHeight="1" x14ac:dyDescent="0.2">
      <c r="A708" s="3"/>
      <c r="B708" s="3"/>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6.5" customHeight="1" x14ac:dyDescent="0.2">
      <c r="A709" s="3"/>
      <c r="B709" s="3"/>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6.5" customHeight="1" x14ac:dyDescent="0.2">
      <c r="A710" s="3"/>
      <c r="B710" s="3"/>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6.5" customHeight="1" x14ac:dyDescent="0.2">
      <c r="A711" s="3"/>
      <c r="B711" s="3"/>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6.5" customHeight="1" x14ac:dyDescent="0.2">
      <c r="A712" s="3"/>
      <c r="B712" s="3"/>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6.5" customHeight="1" x14ac:dyDescent="0.2">
      <c r="A713" s="3"/>
      <c r="B713" s="3"/>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6.5" customHeight="1" x14ac:dyDescent="0.2">
      <c r="A714" s="3"/>
      <c r="B714" s="3"/>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6.5" customHeight="1" x14ac:dyDescent="0.2">
      <c r="A715" s="3"/>
      <c r="B715" s="3"/>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6.5" customHeight="1" x14ac:dyDescent="0.2">
      <c r="A716" s="3"/>
      <c r="B716" s="3"/>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6.5" customHeight="1" x14ac:dyDescent="0.2">
      <c r="A717" s="3"/>
      <c r="B717" s="3"/>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6.5" customHeight="1" x14ac:dyDescent="0.2">
      <c r="A718" s="3"/>
      <c r="B718" s="3"/>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6.5" customHeight="1" x14ac:dyDescent="0.2">
      <c r="A719" s="3"/>
      <c r="B719" s="3"/>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6.5" customHeight="1" x14ac:dyDescent="0.2">
      <c r="A720" s="3"/>
      <c r="B720" s="3"/>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6.5" customHeight="1" x14ac:dyDescent="0.2">
      <c r="A721" s="3"/>
      <c r="B721" s="3"/>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6.5" customHeight="1" x14ac:dyDescent="0.2">
      <c r="A722" s="3"/>
      <c r="B722" s="3"/>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6.5" customHeight="1" x14ac:dyDescent="0.2">
      <c r="A723" s="3"/>
      <c r="B723" s="3"/>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6.5" customHeight="1" x14ac:dyDescent="0.2">
      <c r="A724" s="3"/>
      <c r="B724" s="3"/>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6.5" customHeight="1" x14ac:dyDescent="0.2">
      <c r="A725" s="3"/>
      <c r="B725" s="3"/>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6.5" customHeight="1" x14ac:dyDescent="0.2">
      <c r="A726" s="3"/>
      <c r="B726" s="3"/>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6.5" customHeight="1" x14ac:dyDescent="0.2">
      <c r="A727" s="3"/>
      <c r="B727" s="3"/>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6.5" customHeight="1" x14ac:dyDescent="0.2">
      <c r="A728" s="3"/>
      <c r="B728" s="3"/>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6.5" customHeight="1" x14ac:dyDescent="0.2">
      <c r="A729" s="3"/>
      <c r="B729" s="3"/>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6.5" customHeight="1" x14ac:dyDescent="0.2">
      <c r="A730" s="3"/>
      <c r="B730" s="3"/>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6.5" customHeight="1" x14ac:dyDescent="0.2">
      <c r="A731" s="3"/>
      <c r="B731" s="3"/>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6.5" customHeight="1" x14ac:dyDescent="0.2">
      <c r="A732" s="3"/>
      <c r="B732" s="3"/>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6.5" customHeight="1" x14ac:dyDescent="0.2">
      <c r="A733" s="3"/>
      <c r="B733" s="3"/>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6.5" customHeight="1" x14ac:dyDescent="0.2">
      <c r="A734" s="3"/>
      <c r="B734" s="3"/>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6.5" customHeight="1" x14ac:dyDescent="0.2">
      <c r="A735" s="3"/>
      <c r="B735" s="3"/>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6.5" customHeight="1" x14ac:dyDescent="0.2">
      <c r="A736" s="3"/>
      <c r="B736" s="3"/>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6.5" customHeight="1" x14ac:dyDescent="0.2">
      <c r="A737" s="3"/>
      <c r="B737" s="3"/>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6.5" customHeight="1" x14ac:dyDescent="0.2">
      <c r="A738" s="3"/>
      <c r="B738" s="3"/>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6.5" customHeight="1" x14ac:dyDescent="0.2">
      <c r="A739" s="3"/>
      <c r="B739" s="3"/>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6.5" customHeight="1" x14ac:dyDescent="0.2">
      <c r="A740" s="3"/>
      <c r="B740" s="3"/>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6.5" customHeight="1" x14ac:dyDescent="0.2">
      <c r="A741" s="3"/>
      <c r="B741" s="3"/>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6.5" customHeight="1" x14ac:dyDescent="0.2">
      <c r="A742" s="3"/>
      <c r="B742" s="3"/>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6.5" customHeight="1" x14ac:dyDescent="0.2">
      <c r="A743" s="3"/>
      <c r="B743" s="3"/>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6.5" customHeight="1" x14ac:dyDescent="0.2">
      <c r="A744" s="3"/>
      <c r="B744" s="3"/>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6.5" customHeight="1" x14ac:dyDescent="0.2">
      <c r="A745" s="3"/>
      <c r="B745" s="3"/>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6.5" customHeight="1" x14ac:dyDescent="0.2">
      <c r="A746" s="3"/>
      <c r="B746" s="3"/>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6.5" customHeight="1" x14ac:dyDescent="0.2">
      <c r="A747" s="3"/>
      <c r="B747" s="3"/>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6.5" customHeight="1" x14ac:dyDescent="0.2">
      <c r="A748" s="3"/>
      <c r="B748" s="3"/>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6.5" customHeight="1" x14ac:dyDescent="0.2">
      <c r="A749" s="3"/>
      <c r="B749" s="3"/>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6.5" customHeight="1" x14ac:dyDescent="0.2">
      <c r="A750" s="3"/>
      <c r="B750" s="3"/>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6.5" customHeight="1" x14ac:dyDescent="0.2">
      <c r="A751" s="3"/>
      <c r="B751" s="3"/>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6.5" customHeight="1" x14ac:dyDescent="0.2">
      <c r="A752" s="3"/>
      <c r="B752" s="3"/>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6.5" customHeight="1" x14ac:dyDescent="0.2">
      <c r="A753" s="3"/>
      <c r="B753" s="3"/>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6.5" customHeight="1" x14ac:dyDescent="0.2">
      <c r="A754" s="3"/>
      <c r="B754" s="3"/>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6.5" customHeight="1" x14ac:dyDescent="0.2">
      <c r="A755" s="3"/>
      <c r="B755" s="3"/>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6.5" customHeight="1" x14ac:dyDescent="0.2">
      <c r="A756" s="3"/>
      <c r="B756" s="3"/>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6.5" customHeight="1" x14ac:dyDescent="0.2">
      <c r="A757" s="3"/>
      <c r="B757" s="3"/>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6.5" customHeight="1" x14ac:dyDescent="0.2">
      <c r="A758" s="3"/>
      <c r="B758" s="3"/>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6.5" customHeight="1" x14ac:dyDescent="0.2">
      <c r="A759" s="3"/>
      <c r="B759" s="3"/>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6.5" customHeight="1" x14ac:dyDescent="0.2">
      <c r="A760" s="3"/>
      <c r="B760" s="3"/>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6.5" customHeight="1" x14ac:dyDescent="0.2">
      <c r="A761" s="3"/>
      <c r="B761" s="3"/>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6.5" customHeight="1" x14ac:dyDescent="0.2">
      <c r="A762" s="3"/>
      <c r="B762" s="3"/>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6.5" customHeight="1" x14ac:dyDescent="0.2">
      <c r="A763" s="3"/>
      <c r="B763" s="3"/>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6.5" customHeight="1" x14ac:dyDescent="0.2">
      <c r="A764" s="3"/>
      <c r="B764" s="3"/>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6.5" customHeight="1" x14ac:dyDescent="0.2">
      <c r="A765" s="3"/>
      <c r="B765" s="3"/>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6.5" customHeight="1" x14ac:dyDescent="0.2">
      <c r="A766" s="3"/>
      <c r="B766" s="3"/>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6.5" customHeight="1" x14ac:dyDescent="0.2">
      <c r="A767" s="3"/>
      <c r="B767" s="3"/>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6.5" customHeight="1" x14ac:dyDescent="0.2">
      <c r="A768" s="3"/>
      <c r="B768" s="3"/>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6.5" customHeight="1" x14ac:dyDescent="0.2">
      <c r="A769" s="3"/>
      <c r="B769" s="3"/>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6.5" customHeight="1" x14ac:dyDescent="0.2">
      <c r="A770" s="3"/>
      <c r="B770" s="3"/>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6.5" customHeight="1" x14ac:dyDescent="0.2">
      <c r="A771" s="3"/>
      <c r="B771" s="3"/>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6.5" customHeight="1" x14ac:dyDescent="0.2">
      <c r="A772" s="3"/>
      <c r="B772" s="3"/>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6.5" customHeight="1" x14ac:dyDescent="0.2">
      <c r="A773" s="3"/>
      <c r="B773" s="3"/>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6.5" customHeight="1" x14ac:dyDescent="0.2">
      <c r="A774" s="3"/>
      <c r="B774" s="3"/>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6.5" customHeight="1" x14ac:dyDescent="0.2">
      <c r="A775" s="3"/>
      <c r="B775" s="3"/>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6.5" customHeight="1" x14ac:dyDescent="0.2">
      <c r="A776" s="3"/>
      <c r="B776" s="3"/>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6.5" customHeight="1" x14ac:dyDescent="0.2">
      <c r="A777" s="3"/>
      <c r="B777" s="3"/>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6.5" customHeight="1" x14ac:dyDescent="0.2">
      <c r="A778" s="3"/>
      <c r="B778" s="3"/>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6.5" customHeight="1" x14ac:dyDescent="0.2">
      <c r="A779" s="3"/>
      <c r="B779" s="3"/>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6.5" customHeight="1" x14ac:dyDescent="0.2">
      <c r="A780" s="3"/>
      <c r="B780" s="3"/>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6.5" customHeight="1" x14ac:dyDescent="0.2">
      <c r="A781" s="3"/>
      <c r="B781" s="3"/>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6.5" customHeight="1" x14ac:dyDescent="0.2">
      <c r="A782" s="3"/>
      <c r="B782" s="3"/>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6.5" customHeight="1" x14ac:dyDescent="0.2">
      <c r="A783" s="3"/>
      <c r="B783" s="3"/>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6.5" customHeight="1" x14ac:dyDescent="0.2">
      <c r="A784" s="3"/>
      <c r="B784" s="3"/>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6.5" customHeight="1" x14ac:dyDescent="0.2">
      <c r="A785" s="3"/>
      <c r="B785" s="3"/>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6.5" customHeight="1" x14ac:dyDescent="0.2">
      <c r="A786" s="3"/>
      <c r="B786" s="3"/>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6.5" customHeight="1" x14ac:dyDescent="0.2">
      <c r="A787" s="3"/>
      <c r="B787" s="3"/>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6.5" customHeight="1" x14ac:dyDescent="0.2">
      <c r="A788" s="3"/>
      <c r="B788" s="3"/>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6.5" customHeight="1" x14ac:dyDescent="0.2">
      <c r="A789" s="3"/>
      <c r="B789" s="3"/>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6.5" customHeight="1" x14ac:dyDescent="0.2">
      <c r="A790" s="3"/>
      <c r="B790" s="3"/>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6.5" customHeight="1" x14ac:dyDescent="0.2">
      <c r="A791" s="3"/>
      <c r="B791" s="3"/>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6.5" customHeight="1" x14ac:dyDescent="0.2">
      <c r="A792" s="3"/>
      <c r="B792" s="3"/>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6.5" customHeight="1" x14ac:dyDescent="0.2">
      <c r="A793" s="3"/>
      <c r="B793" s="3"/>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6.5" customHeight="1" x14ac:dyDescent="0.2">
      <c r="A794" s="3"/>
      <c r="B794" s="3"/>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6.5" customHeight="1" x14ac:dyDescent="0.2">
      <c r="A795" s="3"/>
      <c r="B795" s="3"/>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6.5" customHeight="1" x14ac:dyDescent="0.2">
      <c r="A796" s="3"/>
      <c r="B796" s="3"/>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6.5" customHeight="1" x14ac:dyDescent="0.2">
      <c r="A797" s="3"/>
      <c r="B797" s="3"/>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6.5" customHeight="1" x14ac:dyDescent="0.2">
      <c r="A798" s="3"/>
      <c r="B798" s="3"/>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6.5" customHeight="1" x14ac:dyDescent="0.2">
      <c r="A799" s="3"/>
      <c r="B799" s="3"/>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6.5" customHeight="1" x14ac:dyDescent="0.2">
      <c r="A800" s="3"/>
      <c r="B800" s="3"/>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6.5" customHeight="1" x14ac:dyDescent="0.2">
      <c r="A801" s="3"/>
      <c r="B801" s="3"/>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6.5" customHeight="1" x14ac:dyDescent="0.2">
      <c r="A802" s="3"/>
      <c r="B802" s="3"/>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6.5" customHeight="1" x14ac:dyDescent="0.2">
      <c r="A803" s="3"/>
      <c r="B803" s="3"/>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6.5" customHeight="1" x14ac:dyDescent="0.2">
      <c r="A804" s="3"/>
      <c r="B804" s="3"/>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6.5" customHeight="1" x14ac:dyDescent="0.2">
      <c r="A805" s="3"/>
      <c r="B805" s="3"/>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6.5" customHeight="1" x14ac:dyDescent="0.2">
      <c r="A806" s="3"/>
      <c r="B806" s="3"/>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6.5" customHeight="1" x14ac:dyDescent="0.2">
      <c r="A807" s="3"/>
      <c r="B807" s="3"/>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6.5" customHeight="1" x14ac:dyDescent="0.2">
      <c r="A808" s="3"/>
      <c r="B808" s="3"/>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6.5" customHeight="1" x14ac:dyDescent="0.2">
      <c r="A809" s="3"/>
      <c r="B809" s="3"/>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6.5" customHeight="1" x14ac:dyDescent="0.2">
      <c r="A810" s="3"/>
      <c r="B810" s="3"/>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6.5" customHeight="1" x14ac:dyDescent="0.2">
      <c r="A811" s="3"/>
      <c r="B811" s="3"/>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6.5" customHeight="1" x14ac:dyDescent="0.2">
      <c r="A812" s="3"/>
      <c r="B812" s="3"/>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6.5" customHeight="1" x14ac:dyDescent="0.2">
      <c r="A813" s="3"/>
      <c r="B813" s="3"/>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6.5" customHeight="1" x14ac:dyDescent="0.2">
      <c r="A814" s="3"/>
      <c r="B814" s="3"/>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6.5" customHeight="1" x14ac:dyDescent="0.2">
      <c r="A815" s="3"/>
      <c r="B815" s="3"/>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6.5" customHeight="1" x14ac:dyDescent="0.2">
      <c r="A816" s="3"/>
      <c r="B816" s="3"/>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6.5" customHeight="1" x14ac:dyDescent="0.2">
      <c r="A817" s="3"/>
      <c r="B817" s="3"/>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6.5" customHeight="1" x14ac:dyDescent="0.2">
      <c r="A818" s="3"/>
      <c r="B818" s="3"/>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6.5" customHeight="1" x14ac:dyDescent="0.2">
      <c r="A819" s="3"/>
      <c r="B819" s="3"/>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6.5" customHeight="1" x14ac:dyDescent="0.2">
      <c r="A820" s="3"/>
      <c r="B820" s="3"/>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6.5" customHeight="1" x14ac:dyDescent="0.2">
      <c r="A821" s="3"/>
      <c r="B821" s="3"/>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6.5" customHeight="1" x14ac:dyDescent="0.2">
      <c r="A822" s="3"/>
      <c r="B822" s="3"/>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6.5" customHeight="1" x14ac:dyDescent="0.2">
      <c r="A823" s="3"/>
      <c r="B823" s="3"/>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6.5" customHeight="1" x14ac:dyDescent="0.2">
      <c r="A824" s="3"/>
      <c r="B824" s="3"/>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6.5" customHeight="1" x14ac:dyDescent="0.2">
      <c r="A825" s="3"/>
      <c r="B825" s="3"/>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6.5" customHeight="1" x14ac:dyDescent="0.2">
      <c r="A826" s="3"/>
      <c r="B826" s="3"/>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6.5" customHeight="1" x14ac:dyDescent="0.2">
      <c r="A827" s="3"/>
      <c r="B827" s="3"/>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6.5" customHeight="1" x14ac:dyDescent="0.2">
      <c r="A828" s="3"/>
      <c r="B828" s="3"/>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6.5" customHeight="1" x14ac:dyDescent="0.2">
      <c r="A829" s="3"/>
      <c r="B829" s="3"/>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6.5" customHeight="1" x14ac:dyDescent="0.2">
      <c r="A830" s="3"/>
      <c r="B830" s="3"/>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6.5" customHeight="1" x14ac:dyDescent="0.2">
      <c r="A831" s="3"/>
      <c r="B831" s="3"/>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6.5" customHeight="1" x14ac:dyDescent="0.2">
      <c r="A832" s="3"/>
      <c r="B832" s="3"/>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6.5" customHeight="1" x14ac:dyDescent="0.2">
      <c r="A833" s="3"/>
      <c r="B833" s="3"/>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6.5" customHeight="1" x14ac:dyDescent="0.2">
      <c r="A834" s="3"/>
      <c r="B834" s="3"/>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6.5" customHeight="1" x14ac:dyDescent="0.2">
      <c r="A835" s="3"/>
      <c r="B835" s="3"/>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6.5" customHeight="1" x14ac:dyDescent="0.2">
      <c r="A836" s="3"/>
      <c r="B836" s="3"/>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6.5" customHeight="1" x14ac:dyDescent="0.2">
      <c r="A837" s="3"/>
      <c r="B837" s="3"/>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6.5" customHeight="1" x14ac:dyDescent="0.2">
      <c r="A838" s="3"/>
      <c r="B838" s="3"/>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6.5" customHeight="1" x14ac:dyDescent="0.2">
      <c r="A839" s="3"/>
      <c r="B839" s="3"/>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6.5" customHeight="1" x14ac:dyDescent="0.2">
      <c r="A840" s="3"/>
      <c r="B840" s="3"/>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6.5" customHeight="1" x14ac:dyDescent="0.2">
      <c r="A841" s="3"/>
      <c r="B841" s="3"/>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6.5" customHeight="1" x14ac:dyDescent="0.2">
      <c r="A842" s="3"/>
      <c r="B842" s="3"/>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6.5" customHeight="1" x14ac:dyDescent="0.2">
      <c r="A843" s="3"/>
      <c r="B843" s="3"/>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6.5" customHeight="1" x14ac:dyDescent="0.2">
      <c r="A844" s="3"/>
      <c r="B844" s="3"/>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6.5" customHeight="1" x14ac:dyDescent="0.2">
      <c r="A845" s="3"/>
      <c r="B845" s="3"/>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6.5" customHeight="1" x14ac:dyDescent="0.2">
      <c r="A846" s="3"/>
      <c r="B846" s="3"/>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6.5" customHeight="1" x14ac:dyDescent="0.2">
      <c r="A847" s="3"/>
      <c r="B847" s="3"/>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6.5" customHeight="1" x14ac:dyDescent="0.2">
      <c r="A848" s="3"/>
      <c r="B848" s="3"/>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6.5" customHeight="1" x14ac:dyDescent="0.2">
      <c r="A849" s="3"/>
      <c r="B849" s="3"/>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6.5" customHeight="1" x14ac:dyDescent="0.2">
      <c r="A850" s="3"/>
      <c r="B850" s="3"/>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6.5" customHeight="1" x14ac:dyDescent="0.2">
      <c r="A851" s="3"/>
      <c r="B851" s="3"/>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6.5" customHeight="1" x14ac:dyDescent="0.2">
      <c r="A852" s="3"/>
      <c r="B852" s="3"/>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6.5" customHeight="1" x14ac:dyDescent="0.2">
      <c r="A853" s="3"/>
      <c r="B853" s="3"/>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6.5" customHeight="1" x14ac:dyDescent="0.2">
      <c r="A854" s="3"/>
      <c r="B854" s="3"/>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6.5" customHeight="1" x14ac:dyDescent="0.2">
      <c r="A855" s="3"/>
      <c r="B855" s="3"/>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6.5" customHeight="1" x14ac:dyDescent="0.2">
      <c r="A856" s="3"/>
      <c r="B856" s="3"/>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6.5" customHeight="1" x14ac:dyDescent="0.2">
      <c r="A857" s="3"/>
      <c r="B857" s="3"/>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6.5" customHeight="1" x14ac:dyDescent="0.2">
      <c r="A858" s="3"/>
      <c r="B858" s="3"/>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6.5" customHeight="1" x14ac:dyDescent="0.2">
      <c r="A859" s="3"/>
      <c r="B859" s="3"/>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6.5" customHeight="1" x14ac:dyDescent="0.2">
      <c r="A860" s="3"/>
      <c r="B860" s="3"/>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6.5" customHeight="1" x14ac:dyDescent="0.2">
      <c r="A861" s="3"/>
      <c r="B861" s="3"/>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6.5" customHeight="1" x14ac:dyDescent="0.2">
      <c r="A862" s="3"/>
      <c r="B862" s="3"/>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6.5" customHeight="1" x14ac:dyDescent="0.2">
      <c r="A863" s="3"/>
      <c r="B863" s="3"/>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6.5" customHeight="1" x14ac:dyDescent="0.2">
      <c r="A864" s="3"/>
      <c r="B864" s="3"/>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6.5" customHeight="1" x14ac:dyDescent="0.2">
      <c r="A865" s="3"/>
      <c r="B865" s="3"/>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6.5" customHeight="1" x14ac:dyDescent="0.2">
      <c r="A866" s="3"/>
      <c r="B866" s="3"/>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6.5" customHeight="1" x14ac:dyDescent="0.2">
      <c r="A867" s="3"/>
      <c r="B867" s="3"/>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6.5" customHeight="1" x14ac:dyDescent="0.2">
      <c r="A868" s="3"/>
      <c r="B868" s="3"/>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6.5" customHeight="1" x14ac:dyDescent="0.2">
      <c r="A869" s="3"/>
      <c r="B869" s="3"/>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6.5" customHeight="1" x14ac:dyDescent="0.2">
      <c r="A870" s="3"/>
      <c r="B870" s="3"/>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6.5" customHeight="1" x14ac:dyDescent="0.2">
      <c r="A871" s="3"/>
      <c r="B871" s="3"/>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6.5" customHeight="1" x14ac:dyDescent="0.2">
      <c r="A872" s="3"/>
      <c r="B872" s="3"/>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6.5" customHeight="1" x14ac:dyDescent="0.2">
      <c r="A873" s="3"/>
      <c r="B873" s="3"/>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6.5" customHeight="1" x14ac:dyDescent="0.2">
      <c r="A874" s="3"/>
      <c r="B874" s="3"/>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6.5" customHeight="1" x14ac:dyDescent="0.2">
      <c r="A875" s="3"/>
      <c r="B875" s="3"/>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6.5" customHeight="1" x14ac:dyDescent="0.2">
      <c r="A876" s="3"/>
      <c r="B876" s="3"/>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6.5" customHeight="1" x14ac:dyDescent="0.2">
      <c r="A877" s="3"/>
      <c r="B877" s="3"/>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6.5" customHeight="1" x14ac:dyDescent="0.2">
      <c r="A878" s="3"/>
      <c r="B878" s="3"/>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6.5" customHeight="1" x14ac:dyDescent="0.2">
      <c r="A879" s="3"/>
      <c r="B879" s="3"/>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6.5" customHeight="1" x14ac:dyDescent="0.2">
      <c r="A880" s="3"/>
      <c r="B880" s="3"/>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6.5" customHeight="1" x14ac:dyDescent="0.2">
      <c r="A881" s="3"/>
      <c r="B881" s="3"/>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6.5" customHeight="1" x14ac:dyDescent="0.2">
      <c r="A882" s="3"/>
      <c r="B882" s="3"/>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6.5" customHeight="1" x14ac:dyDescent="0.2">
      <c r="A883" s="3"/>
      <c r="B883" s="3"/>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6.5" customHeight="1" x14ac:dyDescent="0.2">
      <c r="A884" s="3"/>
      <c r="B884" s="3"/>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6.5" customHeight="1" x14ac:dyDescent="0.2">
      <c r="A885" s="3"/>
      <c r="B885" s="3"/>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6.5" customHeight="1" x14ac:dyDescent="0.2">
      <c r="A886" s="3"/>
      <c r="B886" s="3"/>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6.5" customHeight="1" x14ac:dyDescent="0.2">
      <c r="A887" s="3"/>
      <c r="B887" s="3"/>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6.5" customHeight="1" x14ac:dyDescent="0.2">
      <c r="A888" s="3"/>
      <c r="B888" s="3"/>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6.5" customHeight="1" x14ac:dyDescent="0.2">
      <c r="A889" s="3"/>
      <c r="B889" s="3"/>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6.5" customHeight="1" x14ac:dyDescent="0.2">
      <c r="A890" s="3"/>
      <c r="B890" s="3"/>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6.5" customHeight="1" x14ac:dyDescent="0.2">
      <c r="A891" s="3"/>
      <c r="B891" s="3"/>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6.5" customHeight="1" x14ac:dyDescent="0.2">
      <c r="A892" s="3"/>
      <c r="B892" s="3"/>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6.5" customHeight="1" x14ac:dyDescent="0.2">
      <c r="A893" s="3"/>
      <c r="B893" s="3"/>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6.5" customHeight="1" x14ac:dyDescent="0.2">
      <c r="A894" s="3"/>
      <c r="B894" s="3"/>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6.5" customHeight="1" x14ac:dyDescent="0.2">
      <c r="A895" s="3"/>
      <c r="B895" s="3"/>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6.5" customHeight="1" x14ac:dyDescent="0.2">
      <c r="A896" s="3"/>
      <c r="B896" s="3"/>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6.5" customHeight="1" x14ac:dyDescent="0.2">
      <c r="A897" s="3"/>
      <c r="B897" s="3"/>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6.5" customHeight="1" x14ac:dyDescent="0.2">
      <c r="A898" s="3"/>
      <c r="B898" s="3"/>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6.5" customHeight="1" x14ac:dyDescent="0.2">
      <c r="A899" s="3"/>
      <c r="B899" s="3"/>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6.5" customHeight="1" x14ac:dyDescent="0.2">
      <c r="A900" s="3"/>
      <c r="B900" s="3"/>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6.5" customHeight="1" x14ac:dyDescent="0.2">
      <c r="A901" s="3"/>
      <c r="B901" s="3"/>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6.5" customHeight="1" x14ac:dyDescent="0.2">
      <c r="A902" s="3"/>
      <c r="B902" s="3"/>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6.5" customHeight="1" x14ac:dyDescent="0.2">
      <c r="A903" s="3"/>
      <c r="B903" s="3"/>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6.5" customHeight="1" x14ac:dyDescent="0.2">
      <c r="A904" s="3"/>
      <c r="B904" s="3"/>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6.5" customHeight="1" x14ac:dyDescent="0.2">
      <c r="A905" s="3"/>
      <c r="B905" s="3"/>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6.5" customHeight="1" x14ac:dyDescent="0.2">
      <c r="A906" s="3"/>
      <c r="B906" s="3"/>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6.5" customHeight="1" x14ac:dyDescent="0.2">
      <c r="A907" s="3"/>
      <c r="B907" s="3"/>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6.5" customHeight="1" x14ac:dyDescent="0.2">
      <c r="A908" s="3"/>
      <c r="B908" s="3"/>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6.5" customHeight="1" x14ac:dyDescent="0.2">
      <c r="A909" s="3"/>
      <c r="B909" s="3"/>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6.5" customHeight="1" x14ac:dyDescent="0.2">
      <c r="A910" s="3"/>
      <c r="B910" s="3"/>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6.5" customHeight="1" x14ac:dyDescent="0.2">
      <c r="A911" s="3"/>
      <c r="B911" s="3"/>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6.5" customHeight="1" x14ac:dyDescent="0.2">
      <c r="A912" s="3"/>
      <c r="B912" s="3"/>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6.5" customHeight="1" x14ac:dyDescent="0.2">
      <c r="A913" s="3"/>
      <c r="B913" s="3"/>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6.5" customHeight="1" x14ac:dyDescent="0.2">
      <c r="A914" s="3"/>
      <c r="B914" s="3"/>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6.5" customHeight="1" x14ac:dyDescent="0.2">
      <c r="A915" s="3"/>
      <c r="B915" s="3"/>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6.5" customHeight="1" x14ac:dyDescent="0.2">
      <c r="A916" s="3"/>
      <c r="B916" s="3"/>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6.5" customHeight="1" x14ac:dyDescent="0.2">
      <c r="A917" s="3"/>
      <c r="B917" s="3"/>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6.5" customHeight="1" x14ac:dyDescent="0.2">
      <c r="A918" s="3"/>
      <c r="B918" s="3"/>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6.5" customHeight="1" x14ac:dyDescent="0.2">
      <c r="A919" s="3"/>
      <c r="B919" s="3"/>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6.5" customHeight="1" x14ac:dyDescent="0.2">
      <c r="A920" s="3"/>
      <c r="B920" s="3"/>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6.5" customHeight="1" x14ac:dyDescent="0.2">
      <c r="A921" s="3"/>
      <c r="B921" s="3"/>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6.5" customHeight="1" x14ac:dyDescent="0.2">
      <c r="A922" s="3"/>
      <c r="B922" s="3"/>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6.5" customHeight="1" x14ac:dyDescent="0.2">
      <c r="A923" s="3"/>
      <c r="B923" s="3"/>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6.5" customHeight="1" x14ac:dyDescent="0.2">
      <c r="A924" s="3"/>
      <c r="B924" s="3"/>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6.5" customHeight="1" x14ac:dyDescent="0.2">
      <c r="A925" s="3"/>
      <c r="B925" s="3"/>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6.5" customHeight="1" x14ac:dyDescent="0.2">
      <c r="A926" s="3"/>
      <c r="B926" s="3"/>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6.5" customHeight="1" x14ac:dyDescent="0.2">
      <c r="A927" s="3"/>
      <c r="B927" s="3"/>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6.5" customHeight="1" x14ac:dyDescent="0.2">
      <c r="A928" s="3"/>
      <c r="B928" s="3"/>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6.5" customHeight="1" x14ac:dyDescent="0.2">
      <c r="A929" s="3"/>
      <c r="B929" s="3"/>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6.5" customHeight="1" x14ac:dyDescent="0.2">
      <c r="A930" s="3"/>
      <c r="B930" s="3"/>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6.5" customHeight="1" x14ac:dyDescent="0.2">
      <c r="A931" s="3"/>
      <c r="B931" s="3"/>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6.5" customHeight="1" x14ac:dyDescent="0.2">
      <c r="A932" s="3"/>
      <c r="B932" s="3"/>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6.5" customHeight="1" x14ac:dyDescent="0.2">
      <c r="A933" s="3"/>
      <c r="B933" s="3"/>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6.5" customHeight="1" x14ac:dyDescent="0.2">
      <c r="A934" s="3"/>
      <c r="B934" s="3"/>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6.5" customHeight="1" x14ac:dyDescent="0.2">
      <c r="A935" s="3"/>
      <c r="B935" s="3"/>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6.5" customHeight="1" x14ac:dyDescent="0.2">
      <c r="A936" s="3"/>
      <c r="B936" s="3"/>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6.5" customHeight="1" x14ac:dyDescent="0.2">
      <c r="A937" s="3"/>
      <c r="B937" s="3"/>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6.5" customHeight="1" x14ac:dyDescent="0.2">
      <c r="A938" s="3"/>
      <c r="B938" s="3"/>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6.5" customHeight="1" x14ac:dyDescent="0.2">
      <c r="A939" s="3"/>
      <c r="B939" s="3"/>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6.5" customHeight="1" x14ac:dyDescent="0.2">
      <c r="A940" s="3"/>
      <c r="B940" s="3"/>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6.5" customHeight="1" x14ac:dyDescent="0.2">
      <c r="A941" s="3"/>
      <c r="B941" s="3"/>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6.5" customHeight="1" x14ac:dyDescent="0.2">
      <c r="A942" s="3"/>
      <c r="B942" s="3"/>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6.5" customHeight="1" x14ac:dyDescent="0.2">
      <c r="A943" s="3"/>
      <c r="B943" s="3"/>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6.5" customHeight="1" x14ac:dyDescent="0.2">
      <c r="A944" s="3"/>
      <c r="B944" s="3"/>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6.5" customHeight="1" x14ac:dyDescent="0.2">
      <c r="A945" s="3"/>
      <c r="B945" s="3"/>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6.5" customHeight="1" x14ac:dyDescent="0.2">
      <c r="A946" s="3"/>
      <c r="B946" s="3"/>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6.5" customHeight="1" x14ac:dyDescent="0.2">
      <c r="A947" s="3"/>
      <c r="B947" s="3"/>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6.5" customHeight="1" x14ac:dyDescent="0.2">
      <c r="A948" s="3"/>
      <c r="B948" s="3"/>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6.5" customHeight="1" x14ac:dyDescent="0.2">
      <c r="A949" s="3"/>
      <c r="B949" s="3"/>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6.5" customHeight="1" x14ac:dyDescent="0.2">
      <c r="A950" s="3"/>
      <c r="B950" s="3"/>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6.5" customHeight="1" x14ac:dyDescent="0.2">
      <c r="A951" s="3"/>
      <c r="B951" s="3"/>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6.5" customHeight="1" x14ac:dyDescent="0.2">
      <c r="A952" s="3"/>
      <c r="B952" s="3"/>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6.5" customHeight="1" x14ac:dyDescent="0.2">
      <c r="A953" s="3"/>
      <c r="B953" s="3"/>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6.5" customHeight="1" x14ac:dyDescent="0.2">
      <c r="A954" s="3"/>
      <c r="B954" s="3"/>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6.5" customHeight="1" x14ac:dyDescent="0.2">
      <c r="A955" s="3"/>
      <c r="B955" s="3"/>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6.5" customHeight="1" x14ac:dyDescent="0.2">
      <c r="A956" s="3"/>
      <c r="B956" s="3"/>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ht="16.5" customHeight="1" x14ac:dyDescent="0.2">
      <c r="A957" s="3"/>
      <c r="B957" s="3"/>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6.5" customHeight="1" x14ac:dyDescent="0.2">
      <c r="A958" s="3"/>
      <c r="B958" s="3"/>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ht="16.5" customHeight="1" x14ac:dyDescent="0.2">
      <c r="A959" s="3"/>
      <c r="B959" s="3"/>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spans="1:27" ht="16.5" customHeight="1" x14ac:dyDescent="0.2">
      <c r="A960" s="3"/>
      <c r="B960" s="3"/>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spans="1:27" ht="16.5" customHeight="1" x14ac:dyDescent="0.2">
      <c r="A961" s="3"/>
      <c r="B961" s="3"/>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spans="1:27" ht="16.5" customHeight="1" x14ac:dyDescent="0.2">
      <c r="A962" s="3"/>
      <c r="B962" s="3"/>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spans="1:27" ht="16.5" customHeight="1" x14ac:dyDescent="0.2">
      <c r="A963" s="3"/>
      <c r="B963" s="3"/>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spans="1:27" ht="16.5" customHeight="1" x14ac:dyDescent="0.2">
      <c r="A964" s="3"/>
      <c r="B964" s="3"/>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spans="1:27" ht="16.5" customHeight="1" x14ac:dyDescent="0.2">
      <c r="A965" s="3"/>
      <c r="B965" s="3"/>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spans="1:27" ht="16.5" customHeight="1" x14ac:dyDescent="0.2">
      <c r="A966" s="3"/>
      <c r="B966" s="3"/>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spans="1:27" ht="16.5" customHeight="1" x14ac:dyDescent="0.2">
      <c r="A967" s="3"/>
      <c r="B967" s="3"/>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spans="1:27" ht="16.5" customHeight="1" x14ac:dyDescent="0.2">
      <c r="A968" s="3"/>
      <c r="B968" s="3"/>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spans="1:27" ht="16.5" customHeight="1" x14ac:dyDescent="0.2">
      <c r="A969" s="3"/>
      <c r="B969" s="3"/>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spans="1:27" ht="16.5" customHeight="1" x14ac:dyDescent="0.2">
      <c r="A970" s="3"/>
      <c r="B970" s="3"/>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spans="1:27" ht="16.5" customHeight="1" x14ac:dyDescent="0.2">
      <c r="A971" s="3"/>
      <c r="B971" s="3"/>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spans="1:27" ht="16.5" customHeight="1" x14ac:dyDescent="0.2">
      <c r="A972" s="3"/>
      <c r="B972" s="3"/>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spans="1:27" ht="16.5" customHeight="1" x14ac:dyDescent="0.2">
      <c r="A973" s="3"/>
      <c r="B973" s="3"/>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spans="1:27" ht="16.5" customHeight="1" x14ac:dyDescent="0.2">
      <c r="A974" s="3"/>
      <c r="B974" s="3"/>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spans="1:27" ht="16.5" customHeight="1" x14ac:dyDescent="0.2">
      <c r="A975" s="3"/>
      <c r="B975" s="3"/>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spans="1:27" ht="16.5" customHeight="1" x14ac:dyDescent="0.2">
      <c r="A976" s="3"/>
      <c r="B976" s="3"/>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spans="1:27" ht="16.5" customHeight="1" x14ac:dyDescent="0.2">
      <c r="A977" s="3"/>
      <c r="B977" s="3"/>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spans="1:27" ht="16.5" customHeight="1" x14ac:dyDescent="0.2">
      <c r="A978" s="3"/>
      <c r="B978" s="3"/>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spans="1:27" ht="16.5" customHeight="1" x14ac:dyDescent="0.2">
      <c r="A979" s="3"/>
      <c r="B979" s="3"/>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spans="1:27" ht="16.5" customHeight="1" x14ac:dyDescent="0.2">
      <c r="A980" s="3"/>
      <c r="B980" s="3"/>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spans="1:27" ht="16.5" customHeight="1" x14ac:dyDescent="0.2">
      <c r="A981" s="3"/>
      <c r="B981" s="3"/>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8"/>
  <sheetViews>
    <sheetView workbookViewId="0">
      <selection activeCell="B9" sqref="B9"/>
    </sheetView>
    <sheetView workbookViewId="1"/>
  </sheetViews>
  <sheetFormatPr baseColWidth="10" defaultColWidth="11.1640625" defaultRowHeight="15" customHeight="1" x14ac:dyDescent="0.2"/>
  <cols>
    <col min="1" max="1" width="22" customWidth="1"/>
  </cols>
  <sheetData>
    <row r="1" spans="1:2" x14ac:dyDescent="0.2">
      <c r="A1" s="4" t="s">
        <v>1184</v>
      </c>
    </row>
    <row r="2" spans="1:2" x14ac:dyDescent="0.2">
      <c r="A2" s="8" t="s">
        <v>97</v>
      </c>
      <c r="B2">
        <v>0</v>
      </c>
    </row>
    <row r="3" spans="1:2" x14ac:dyDescent="0.2">
      <c r="A3" s="10" t="s">
        <v>286</v>
      </c>
      <c r="B3">
        <v>1</v>
      </c>
    </row>
    <row r="4" spans="1:2" x14ac:dyDescent="0.2">
      <c r="A4" s="12" t="s">
        <v>481</v>
      </c>
      <c r="B4">
        <v>2</v>
      </c>
    </row>
    <row r="5" spans="1:2" x14ac:dyDescent="0.2">
      <c r="A5" s="14" t="s">
        <v>668</v>
      </c>
      <c r="B5">
        <v>3</v>
      </c>
    </row>
    <row r="6" spans="1:2" x14ac:dyDescent="0.2">
      <c r="A6" s="16" t="s">
        <v>365</v>
      </c>
      <c r="B6">
        <v>4</v>
      </c>
    </row>
    <row r="7" spans="1:2" x14ac:dyDescent="0.2">
      <c r="A7" s="18" t="s">
        <v>500</v>
      </c>
      <c r="B7">
        <v>5</v>
      </c>
    </row>
    <row r="8" spans="1:2" x14ac:dyDescent="0.2">
      <c r="A8" s="20" t="s">
        <v>404</v>
      </c>
      <c r="B8">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 workbookViewId="1"/>
  </sheetViews>
  <sheetFormatPr baseColWidth="10" defaultColWidth="11.1640625" defaultRowHeight="15" customHeight="1" x14ac:dyDescent="0.2"/>
  <cols>
    <col min="1" max="1" width="16.1640625" customWidth="1"/>
    <col min="2" max="2" width="77.1640625" customWidth="1"/>
    <col min="3" max="3" width="70.1640625" customWidth="1"/>
    <col min="4" max="26" width="8.6640625" customWidth="1"/>
  </cols>
  <sheetData>
    <row r="1" spans="1:26" x14ac:dyDescent="0.2">
      <c r="A1" s="1" t="s">
        <v>1260</v>
      </c>
      <c r="B1" s="1" t="s">
        <v>1261</v>
      </c>
      <c r="C1" s="1" t="s">
        <v>10</v>
      </c>
      <c r="D1" s="3"/>
      <c r="E1" s="3"/>
      <c r="F1" s="3"/>
      <c r="G1" s="3"/>
      <c r="H1" s="3"/>
      <c r="I1" s="3"/>
      <c r="J1" s="3"/>
      <c r="K1" s="3"/>
      <c r="L1" s="3"/>
      <c r="M1" s="3"/>
      <c r="N1" s="3"/>
      <c r="O1" s="3"/>
      <c r="P1" s="3"/>
      <c r="Q1" s="3"/>
      <c r="R1" s="3"/>
      <c r="S1" s="3"/>
      <c r="T1" s="3"/>
      <c r="U1" s="3"/>
      <c r="V1" s="3"/>
      <c r="W1" s="3"/>
      <c r="X1" s="3"/>
      <c r="Y1" s="3"/>
      <c r="Z1" s="3"/>
    </row>
    <row r="2" spans="1:26" x14ac:dyDescent="0.2">
      <c r="A2" s="3" t="s">
        <v>1262</v>
      </c>
      <c r="B2" s="3" t="s">
        <v>1263</v>
      </c>
      <c r="C2" s="21" t="s">
        <v>1264</v>
      </c>
      <c r="D2" s="3"/>
      <c r="E2" s="3"/>
      <c r="F2" s="3"/>
      <c r="G2" s="3"/>
      <c r="H2" s="3"/>
      <c r="I2" s="3"/>
      <c r="J2" s="3"/>
      <c r="K2" s="3"/>
      <c r="L2" s="3"/>
      <c r="M2" s="3"/>
      <c r="N2" s="3"/>
      <c r="O2" s="3"/>
      <c r="P2" s="3"/>
      <c r="Q2" s="3"/>
      <c r="R2" s="3"/>
      <c r="S2" s="3"/>
      <c r="T2" s="3"/>
      <c r="U2" s="3"/>
      <c r="V2" s="3"/>
      <c r="W2" s="3"/>
      <c r="X2" s="3"/>
      <c r="Y2" s="3"/>
      <c r="Z2" s="3"/>
    </row>
    <row r="3" spans="1:26" x14ac:dyDescent="0.2">
      <c r="A3" s="3" t="s">
        <v>1265</v>
      </c>
      <c r="B3" s="3" t="s">
        <v>1266</v>
      </c>
      <c r="C3" s="21" t="s">
        <v>1267</v>
      </c>
      <c r="D3" s="3"/>
      <c r="E3" s="3"/>
      <c r="F3" s="3"/>
      <c r="G3" s="3"/>
      <c r="H3" s="3"/>
      <c r="I3" s="3"/>
      <c r="J3" s="3"/>
      <c r="K3" s="3"/>
      <c r="L3" s="3"/>
      <c r="M3" s="3"/>
      <c r="N3" s="3"/>
      <c r="O3" s="3"/>
      <c r="P3" s="3"/>
      <c r="Q3" s="3"/>
      <c r="R3" s="3"/>
      <c r="S3" s="3"/>
      <c r="T3" s="3"/>
      <c r="U3" s="3"/>
      <c r="V3" s="3"/>
      <c r="W3" s="3"/>
      <c r="X3" s="3"/>
      <c r="Y3" s="3"/>
      <c r="Z3" s="3"/>
    </row>
    <row r="4" spans="1:26" x14ac:dyDescent="0.2">
      <c r="A4" s="3" t="s">
        <v>1268</v>
      </c>
      <c r="B4" s="3" t="s">
        <v>1269</v>
      </c>
      <c r="C4" s="21" t="s">
        <v>1270</v>
      </c>
      <c r="D4" s="3"/>
      <c r="E4" s="3"/>
      <c r="F4" s="3"/>
      <c r="G4" s="3"/>
      <c r="H4" s="3"/>
      <c r="I4" s="3"/>
      <c r="J4" s="3"/>
      <c r="K4" s="3"/>
      <c r="L4" s="3"/>
      <c r="M4" s="3"/>
      <c r="N4" s="3"/>
      <c r="O4" s="3"/>
      <c r="P4" s="3"/>
      <c r="Q4" s="3"/>
      <c r="R4" s="3"/>
      <c r="S4" s="3"/>
      <c r="T4" s="3"/>
      <c r="U4" s="3"/>
      <c r="V4" s="3"/>
      <c r="W4" s="3"/>
      <c r="X4" s="3"/>
      <c r="Y4" s="3"/>
      <c r="Z4" s="3"/>
    </row>
    <row r="5" spans="1:26" x14ac:dyDescent="0.2">
      <c r="A5" s="3" t="s">
        <v>1271</v>
      </c>
      <c r="B5" s="3" t="s">
        <v>1272</v>
      </c>
      <c r="C5" s="21" t="s">
        <v>1273</v>
      </c>
      <c r="D5" s="3"/>
      <c r="E5" s="3"/>
      <c r="F5" s="3"/>
      <c r="G5" s="3"/>
      <c r="H5" s="3"/>
      <c r="I5" s="3"/>
      <c r="J5" s="3"/>
      <c r="K5" s="3"/>
      <c r="L5" s="3"/>
      <c r="M5" s="3"/>
      <c r="N5" s="3"/>
      <c r="O5" s="3"/>
      <c r="P5" s="3"/>
      <c r="Q5" s="3"/>
      <c r="R5" s="3"/>
      <c r="S5" s="3"/>
      <c r="T5" s="3"/>
      <c r="U5" s="3"/>
      <c r="V5" s="3"/>
      <c r="W5" s="3"/>
      <c r="X5" s="3"/>
      <c r="Y5" s="3"/>
      <c r="Z5" s="3"/>
    </row>
    <row r="6" spans="1:26" x14ac:dyDescent="0.2">
      <c r="A6" s="3" t="s">
        <v>1274</v>
      </c>
      <c r="B6" s="3" t="s">
        <v>1275</v>
      </c>
      <c r="C6" s="21" t="s">
        <v>1276</v>
      </c>
      <c r="D6" s="3"/>
      <c r="E6" s="3"/>
      <c r="F6" s="3"/>
      <c r="G6" s="3"/>
      <c r="H6" s="3"/>
      <c r="I6" s="3"/>
      <c r="J6" s="3"/>
      <c r="K6" s="3"/>
      <c r="L6" s="3"/>
      <c r="M6" s="3"/>
      <c r="N6" s="3"/>
      <c r="O6" s="3"/>
      <c r="P6" s="3"/>
      <c r="Q6" s="3"/>
      <c r="R6" s="3"/>
      <c r="S6" s="3"/>
      <c r="T6" s="3"/>
      <c r="U6" s="3"/>
      <c r="V6" s="3"/>
      <c r="W6" s="3"/>
      <c r="X6" s="3"/>
      <c r="Y6" s="3"/>
      <c r="Z6" s="3"/>
    </row>
    <row r="7" spans="1:26" x14ac:dyDescent="0.2">
      <c r="A7" s="3" t="s">
        <v>1277</v>
      </c>
      <c r="B7" s="3" t="s">
        <v>1278</v>
      </c>
      <c r="C7" s="21" t="s">
        <v>1279</v>
      </c>
      <c r="D7" s="3"/>
      <c r="E7" s="3"/>
      <c r="F7" s="3"/>
      <c r="G7" s="3"/>
      <c r="H7" s="3"/>
      <c r="I7" s="3"/>
      <c r="J7" s="3"/>
      <c r="K7" s="3"/>
      <c r="L7" s="3"/>
      <c r="M7" s="3"/>
      <c r="N7" s="3"/>
      <c r="O7" s="3"/>
      <c r="P7" s="3"/>
      <c r="Q7" s="3"/>
      <c r="R7" s="3"/>
      <c r="S7" s="3"/>
      <c r="T7" s="3"/>
      <c r="U7" s="3"/>
      <c r="V7" s="3"/>
      <c r="W7" s="3"/>
      <c r="X7" s="3"/>
      <c r="Y7" s="3"/>
      <c r="Z7" s="3"/>
    </row>
    <row r="8" spans="1:26" x14ac:dyDescent="0.2">
      <c r="A8" s="3" t="s">
        <v>1280</v>
      </c>
      <c r="B8" s="3" t="s">
        <v>1281</v>
      </c>
      <c r="C8" s="21" t="s">
        <v>1282</v>
      </c>
      <c r="D8" s="3"/>
      <c r="E8" s="3"/>
      <c r="F8" s="3"/>
      <c r="G8" s="3"/>
      <c r="H8" s="3"/>
      <c r="I8" s="3"/>
      <c r="J8" s="3"/>
      <c r="K8" s="3"/>
      <c r="L8" s="3"/>
      <c r="M8" s="3"/>
      <c r="N8" s="3"/>
      <c r="O8" s="3"/>
      <c r="P8" s="3"/>
      <c r="Q8" s="3"/>
      <c r="R8" s="3"/>
      <c r="S8" s="3"/>
      <c r="T8" s="3"/>
      <c r="U8" s="3"/>
      <c r="V8" s="3"/>
      <c r="W8" s="3"/>
      <c r="X8" s="3"/>
      <c r="Y8" s="3"/>
      <c r="Z8" s="3"/>
    </row>
    <row r="9" spans="1:26" x14ac:dyDescent="0.2">
      <c r="A9" s="3" t="s">
        <v>1283</v>
      </c>
      <c r="B9" s="3" t="s">
        <v>1284</v>
      </c>
      <c r="C9" s="21" t="s">
        <v>1285</v>
      </c>
      <c r="D9" s="3"/>
      <c r="E9" s="3"/>
      <c r="F9" s="3"/>
      <c r="G9" s="3"/>
      <c r="H9" s="3"/>
      <c r="I9" s="3"/>
      <c r="J9" s="3"/>
      <c r="K9" s="3"/>
      <c r="L9" s="3"/>
      <c r="M9" s="3"/>
      <c r="N9" s="3"/>
      <c r="O9" s="3"/>
      <c r="P9" s="3"/>
      <c r="Q9" s="3"/>
      <c r="R9" s="3"/>
      <c r="S9" s="3"/>
      <c r="T9" s="3"/>
      <c r="U9" s="3"/>
      <c r="V9" s="3"/>
      <c r="W9" s="3"/>
      <c r="X9" s="3"/>
      <c r="Y9" s="3"/>
      <c r="Z9" s="3"/>
    </row>
    <row r="10" spans="1:26" x14ac:dyDescent="0.2">
      <c r="A10" s="3" t="s">
        <v>1286</v>
      </c>
      <c r="B10" s="3" t="s">
        <v>1287</v>
      </c>
      <c r="C10" s="3" t="s">
        <v>1288</v>
      </c>
      <c r="D10" s="3"/>
      <c r="E10" s="3"/>
      <c r="F10" s="3"/>
      <c r="G10" s="3"/>
      <c r="H10" s="3"/>
      <c r="I10" s="3"/>
      <c r="J10" s="3"/>
      <c r="K10" s="3"/>
      <c r="L10" s="3"/>
      <c r="M10" s="3"/>
      <c r="N10" s="3"/>
      <c r="O10" s="3"/>
      <c r="P10" s="3"/>
      <c r="Q10" s="3"/>
      <c r="R10" s="3"/>
      <c r="S10" s="3"/>
      <c r="T10" s="3"/>
      <c r="U10" s="3"/>
      <c r="V10" s="3"/>
      <c r="W10" s="3"/>
      <c r="X10" s="3"/>
      <c r="Y10" s="3"/>
      <c r="Z10" s="3"/>
    </row>
    <row r="11" spans="1:26" x14ac:dyDescent="0.2">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2">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x14ac:dyDescent="0.2">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2">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2">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2">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2">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2">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2">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2">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2">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2">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2">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2">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2">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2">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2">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x14ac:dyDescent="0.2">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x14ac:dyDescent="0.2">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x14ac:dyDescent="0.2">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x14ac:dyDescent="0.2">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x14ac:dyDescent="0.2">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2">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2">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2">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2">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2">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2">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2">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2">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2">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2">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2">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2">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2">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2">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2">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2">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2">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2">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2">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2">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2">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2">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2">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2">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2">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2">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2">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2">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2">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2">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2">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2">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2">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2">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2">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2">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2">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2">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2">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2">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2">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2">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2">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2">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2">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2">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2">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2">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2">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2">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2">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2">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2">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2">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2">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2">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2">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2">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2">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2">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2">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2">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ef="C2" r:id="rId1" xr:uid="{00000000-0004-0000-0600-000000000000}"/>
    <hyperlink ref="C3" r:id="rId2" xr:uid="{00000000-0004-0000-0600-000001000000}"/>
    <hyperlink ref="C4" r:id="rId3" xr:uid="{00000000-0004-0000-0600-000002000000}"/>
    <hyperlink ref="C5" r:id="rId4" xr:uid="{00000000-0004-0000-0600-000003000000}"/>
    <hyperlink ref="C6" r:id="rId5" xr:uid="{00000000-0004-0000-0600-000004000000}"/>
    <hyperlink ref="C7" r:id="rId6" xr:uid="{00000000-0004-0000-0600-000005000000}"/>
    <hyperlink ref="C8" r:id="rId7" xr:uid="{00000000-0004-0000-0600-000006000000}"/>
    <hyperlink ref="C9" r:id="rId8" xr:uid="{00000000-0004-0000-0600-000007000000}"/>
  </hyperlinks>
  <pageMargins left="0.7" right="0.7" top="0.75" bottom="0.75" header="0" footer="0"/>
  <pageSetup paperSize="9" orientation="portrait"/>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Catalogue_Columns</vt:lpstr>
      <vt:lpstr>Catalogue</vt:lpstr>
      <vt:lpstr>KPIs</vt:lpstr>
      <vt:lpstr>KPI_domains</vt:lpstr>
      <vt:lpstr>Licence_Types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Frank</dc:creator>
  <cp:keywords/>
  <dc:description/>
  <cp:lastModifiedBy>Jens Kandt</cp:lastModifiedBy>
  <cp:revision/>
  <dcterms:created xsi:type="dcterms:W3CDTF">2022-01-26T04:33:44Z</dcterms:created>
  <dcterms:modified xsi:type="dcterms:W3CDTF">2026-03-16T16:39:14Z</dcterms:modified>
  <cp:category/>
  <cp:contentStatus/>
</cp:coreProperties>
</file>